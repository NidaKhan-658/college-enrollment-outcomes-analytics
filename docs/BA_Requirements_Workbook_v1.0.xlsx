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 Model" sheetId="2" state="visible" r:id="rId4"/>
    <sheet name="Data Dictionary" sheetId="3" state="visible" r:id="rId5"/>
    <sheet name="Data Mapping" sheetId="4" state="visible" r:id="rId6"/>
    <sheet name="Reconciliation" sheetId="5" state="visible" r:id="rId7"/>
    <sheet name="User Stories" sheetId="6" state="visible" r:id="rId8"/>
    <sheet name="KPI Definitions" sheetId="7" state="visible" r:id="rId9"/>
    <sheet name="Ref Field &amp; Cohort" sheetId="8" state="visible" r:id="rId10"/>
    <sheet name="Ref Channel &amp; Year" sheetId="9" state="visible" r:id="rId11"/>
    <sheet name="Ref College" sheetId="10" state="visible" r:id="rId12"/>
  </sheets>
  <definedNames>
    <definedName function="false" hidden="true" localSheetId="2" name="_xlnm._FilterDatabase" vbProcedure="false">'Data Dictionary'!$A$1:$J$32</definedName>
    <definedName function="false" hidden="true" localSheetId="3" name="_xlnm._FilterDatabase" vbProcedure="false">'Data Mapping'!$A$1:$I$43</definedName>
    <definedName function="false" hidden="true" localSheetId="1" name="_xlnm._FilterDatabase" vbProcedure="false">'Data Model'!$A$1:$F$4</definedName>
    <definedName function="false" hidden="true" localSheetId="6" name="_xlnm._FilterDatabase" vbProcedure="false">'KPI Definitions'!$A$1:$H$11</definedName>
    <definedName function="false" hidden="true" localSheetId="4" name="_xlnm._FilterDatabase" vbProcedure="false">Reconciliation!$A$1:$G$18</definedName>
    <definedName function="false" hidden="true" localSheetId="5" name="_xlnm._FilterDatabase" vbProcedure="false">'User Stories'!$A$1:$L$29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<sst xmlns="http://schemas.openxmlformats.org/spreadsheetml/2006/main" count="1380" uniqueCount="663">
  <si>
    <t xml:space="preserve">Enrollment &amp; Outcomes Analytics - Requirements Workbook (baseline v1.0)</t>
  </si>
  <si>
    <t xml:space="preserve">Built in Steps 2-3 of the project plan. Companion to BRD v1.0 and FRD v1.0. All data is synthetic (seeded generator: data/generate_data.py, extract v1.0).</t>
  </si>
  <si>
    <t xml:space="preserve">Sheets in this version</t>
  </si>
  <si>
    <t xml:space="preserve">Data Model - tables, grain, keys and Tableau relationships</t>
  </si>
  <si>
    <t xml:space="preserve">Data Dictionary - every column: type, meaning, allowed values, nulls, distinct count (profiled from the extract)</t>
  </si>
  <si>
    <t xml:space="preserve">Data Mapping - source column to Tableau field, with role, transformation, validation and null handling</t>
  </si>
  <si>
    <t xml:space="preserve">Reconciliation - expected counts from the extract; enter Tableau values in the blue cells and Match? checks them</t>
  </si>
  <si>
    <t xml:space="preserve">User Stories - 28 baseline stories with Given/When/Then acceptance criteria, linked to BR and FR</t>
  </si>
  <si>
    <t xml:space="preserve">KPI Definitions - KPI-01 to KPI-10: definition, Tableau formula, rule and reference value</t>
  </si>
  <si>
    <t xml:space="preserve">Ref Field &amp; Cohort, Ref Channel &amp; Year, Ref College - independently computed values to check Tableau against</t>
  </si>
  <si>
    <t xml:space="preserve">Added in later steps</t>
  </si>
  <si>
    <t xml:space="preserve">LOD Lab reference values (Step 5); Change Request log and funding/aid fields (Step 6, CR-001); Traceability and Test Cases (Step 7)</t>
  </si>
  <si>
    <t xml:space="preserve">Legend</t>
  </si>
  <si>
    <t xml:space="preserve">Blue font = cell for you to fill in. Status columns have dropdowns.</t>
  </si>
  <si>
    <t xml:space="preserve">Table</t>
  </si>
  <si>
    <t xml:space="preserve">Grain</t>
  </si>
  <si>
    <t xml:space="preserve">Primary key</t>
  </si>
  <si>
    <t xml:space="preserve">Foreign key(s)</t>
  </si>
  <si>
    <t xml:space="preserve">Rows</t>
  </si>
  <si>
    <t xml:space="preserve">Notes</t>
  </si>
  <si>
    <t xml:space="preserve">dim_college</t>
  </si>
  <si>
    <t xml:space="preserve">One row per college</t>
  </si>
  <si>
    <t xml:space="preserve">college_id</t>
  </si>
  <si>
    <t xml:space="preserve">-</t>
  </si>
  <si>
    <t xml:space="preserve">Hub table for all relationships</t>
  </si>
  <si>
    <t xml:space="preserve">fact_applications</t>
  </si>
  <si>
    <t xml:space="preserve">One row per application (applicant x college x year)</t>
  </si>
  <si>
    <t xml:space="preserve">application_id</t>
  </si>
  <si>
    <t xml:space="preserve">Admissions funnel and discovery channel</t>
  </si>
  <si>
    <t xml:space="preserve">fact_students</t>
  </si>
  <si>
    <t xml:space="preserve">One row per enrolled student (new entrant)</t>
  </si>
  <si>
    <t xml:space="preserve">student_id</t>
  </si>
  <si>
    <t xml:space="preserve">college_id; application_id (lineage only)</t>
  </si>
  <si>
    <t xml:space="preserve">Enrollment status and outcomes; discovery_channel copied from the application</t>
  </si>
  <si>
    <t xml:space="preserve">Tableau relationships (Data Source tab, Relationships model)</t>
  </si>
  <si>
    <t xml:space="preserve">Left</t>
  </si>
  <si>
    <t xml:space="preserve">Right</t>
  </si>
  <si>
    <t xml:space="preserve">Cardinality</t>
  </si>
  <si>
    <t xml:space="preserve">dim_college.college_id</t>
  </si>
  <si>
    <t xml:space="preserve">fact_applications.college_id</t>
  </si>
  <si>
    <t xml:space="preserve">One to many</t>
  </si>
  <si>
    <t xml:space="preserve">fact_students.college_id</t>
  </si>
  <si>
    <t xml:space="preserve">Design note</t>
  </si>
  <si>
    <t xml:space="preserve">Students and applications are not related to each other in Tableau (that would create a cycle with dim_college). Channel-versus-outcome analysis uses discovery_channel stored on fact_students; application_id is kept for lineage.</t>
  </si>
  <si>
    <t xml:space="preserve">Column</t>
  </si>
  <si>
    <t xml:space="preserve">Data type</t>
  </si>
  <si>
    <t xml:space="preserve">Description</t>
  </si>
  <si>
    <t xml:space="preserve">Allowed values / rule</t>
  </si>
  <si>
    <t xml:space="preserve">Nulls allowed</t>
  </si>
  <si>
    <t xml:space="preserve">Actual nulls</t>
  </si>
  <si>
    <t xml:space="preserve">Distinct values</t>
  </si>
  <si>
    <t xml:space="preserve">Example</t>
  </si>
  <si>
    <t xml:space="preserve">Origin</t>
  </si>
  <si>
    <t xml:space="preserve">Text</t>
  </si>
  <si>
    <t xml:space="preserve">Unique college identifier (C01-C30)</t>
  </si>
  <si>
    <t xml:space="preserve">No</t>
  </si>
  <si>
    <t xml:space="preserve">C01</t>
  </si>
  <si>
    <t xml:space="preserve">Baseline</t>
  </si>
  <si>
    <t xml:space="preserve">college_name</t>
  </si>
  <si>
    <t xml:space="preserve">Fictional college name</t>
  </si>
  <si>
    <t xml:space="preserve">No real institutions</t>
  </si>
  <si>
    <t xml:space="preserve">Alder Institute</t>
  </si>
  <si>
    <t xml:space="preserve">state</t>
  </si>
  <si>
    <t xml:space="preserve">U.S. state postal code of the college location</t>
  </si>
  <si>
    <t xml:space="preserve">PA</t>
  </si>
  <si>
    <t xml:space="preserve">region</t>
  </si>
  <si>
    <t xml:space="preserve">Region of the college: Northeast, Midwest, South, West</t>
  </si>
  <si>
    <t xml:space="preserve">Northeast</t>
  </si>
  <si>
    <t xml:space="preserve">control_type</t>
  </si>
  <si>
    <t xml:space="preserve">Institution ownership</t>
  </si>
  <si>
    <t xml:space="preserve">Public / Private Nonprofit / Private For-Profit</t>
  </si>
  <si>
    <t xml:space="preserve">Private For-Profit</t>
  </si>
  <si>
    <t xml:space="preserve">size_tier</t>
  </si>
  <si>
    <t xml:space="preserve">Size band from average annual application volume</t>
  </si>
  <si>
    <t xml:space="preserve">Small / Medium / Large</t>
  </si>
  <si>
    <t xml:space="preserve">Large</t>
  </si>
  <si>
    <t xml:space="preserve">selectivity_tier</t>
  </si>
  <si>
    <t xml:space="preserve">Selectivity band from base admit rate</t>
  </si>
  <si>
    <t xml:space="preserve">Highly Selective / Moderately Selective / Open Admission</t>
  </si>
  <si>
    <t xml:space="preserve">Open Admission</t>
  </si>
  <si>
    <t xml:space="preserve">Unique application identifier (A000001 onward)</t>
  </si>
  <si>
    <t xml:space="preserve">A000001</t>
  </si>
  <si>
    <t xml:space="preserve">College applied to</t>
  </si>
  <si>
    <t xml:space="preserve">Foreign key to dim_college</t>
  </si>
  <si>
    <t xml:space="preserve">application_year</t>
  </si>
  <si>
    <t xml:space="preserve">Whole number</t>
  </si>
  <si>
    <t xml:space="preserve">Fall entry year applied for (equals cohort_year if enrolled)</t>
  </si>
  <si>
    <t xml:space="preserve">2018-2025</t>
  </si>
  <si>
    <t xml:space="preserve">2018</t>
  </si>
  <si>
    <t xml:space="preserve">discovery_channel</t>
  </si>
  <si>
    <t xml:space="preserve">How the applicant first learned about the college (self-reported, one per applicant)</t>
  </si>
  <si>
    <t xml:space="preserve">8 values</t>
  </si>
  <si>
    <t xml:space="preserve">Campus Visit / Open House</t>
  </si>
  <si>
    <t xml:space="preserve">applicant_state</t>
  </si>
  <si>
    <t xml:space="preserve">Applicant home state (postal code)</t>
  </si>
  <si>
    <t xml:space="preserve">intended_field</t>
  </si>
  <si>
    <t xml:space="preserve">Field of study the applicant intended at application</t>
  </si>
  <si>
    <t xml:space="preserve">10 values</t>
  </si>
  <si>
    <t xml:space="preserve">Physical Sciences &amp; Math</t>
  </si>
  <si>
    <t xml:space="preserve">admitted_flag</t>
  </si>
  <si>
    <t xml:space="preserve">1 if the applicant was admitted, else 0</t>
  </si>
  <si>
    <t xml:space="preserve">0 or 1</t>
  </si>
  <si>
    <t xml:space="preserve">1</t>
  </si>
  <si>
    <t xml:space="preserve">enrolled_flag</t>
  </si>
  <si>
    <t xml:space="preserve">1 if the admitted applicant enrolled, else 0</t>
  </si>
  <si>
    <t xml:space="preserve">0 or 1; 1 only when admitted_flag = 1</t>
  </si>
  <si>
    <t xml:space="preserve">0</t>
  </si>
  <si>
    <t xml:space="preserve">Unique student identifier (S000001 onward)</t>
  </si>
  <si>
    <t xml:space="preserve">S000001</t>
  </si>
  <si>
    <t xml:space="preserve">Application that produced this student</t>
  </si>
  <si>
    <t xml:space="preserve">Lineage key; unique</t>
  </si>
  <si>
    <t xml:space="preserve">A000018</t>
  </si>
  <si>
    <t xml:space="preserve">Channel copied from the application (denormalized)</t>
  </si>
  <si>
    <t xml:space="preserve">College Website</t>
  </si>
  <si>
    <t xml:space="preserve">College attended</t>
  </si>
  <si>
    <t xml:space="preserve">cohort_year</t>
  </si>
  <si>
    <t xml:space="preserve">Fall entry year of the student</t>
  </si>
  <si>
    <t xml:space="preserve">field_of_study</t>
  </si>
  <si>
    <t xml:space="preserve">Field of study at enrollment (can differ from intended_field)</t>
  </si>
  <si>
    <t xml:space="preserve">Arts &amp; Humanities</t>
  </si>
  <si>
    <t xml:space="preserve">stem_flag</t>
  </si>
  <si>
    <t xml:space="preserve">STEM or Non-STEM, derived from field_of_study</t>
  </si>
  <si>
    <t xml:space="preserve">STEM / Non-STEM</t>
  </si>
  <si>
    <t xml:space="preserve">Non-STEM</t>
  </si>
  <si>
    <t xml:space="preserve">family_income_band</t>
  </si>
  <si>
    <t xml:space="preserve">Household income band</t>
  </si>
  <si>
    <t xml:space="preserve">5 bands</t>
  </si>
  <si>
    <t xml:space="preserve">Under $30K</t>
  </si>
  <si>
    <t xml:space="preserve">first_gen_flag</t>
  </si>
  <si>
    <t xml:space="preserve">1 if first-generation college student</t>
  </si>
  <si>
    <t xml:space="preserve">in_state_flag</t>
  </si>
  <si>
    <t xml:space="preserve">1 if applicant state equals college state</t>
  </si>
  <si>
    <t xml:space="preserve">hs_gpa</t>
  </si>
  <si>
    <t xml:space="preserve">Decimal</t>
  </si>
  <si>
    <t xml:space="preserve">High-school GPA at entry</t>
  </si>
  <si>
    <t xml:space="preserve">2.00-4.00</t>
  </si>
  <si>
    <t xml:space="preserve">2.92</t>
  </si>
  <si>
    <t xml:space="preserve">enrollment_status</t>
  </si>
  <si>
    <t xml:space="preserve">Status as of 2026-08-31</t>
  </si>
  <si>
    <t xml:space="preserve">Graduated / Dropped Out / Enrolled (Active)</t>
  </si>
  <si>
    <t xml:space="preserve">Dropped Out</t>
  </si>
  <si>
    <t xml:space="preserve">graduation_year</t>
  </si>
  <si>
    <t xml:space="preserve">Whole number (nullable)</t>
  </si>
  <si>
    <t xml:space="preserve">Year of graduation (events dated May of that year)</t>
  </si>
  <si>
    <t xml:space="preserve">Null unless Graduated</t>
  </si>
  <si>
    <t xml:space="preserve">Yes</t>
  </si>
  <si>
    <t xml:space="preserve">2022</t>
  </si>
  <si>
    <t xml:space="preserve">dropout_year</t>
  </si>
  <si>
    <t xml:space="preserve">Year the student left without a degree</t>
  </si>
  <si>
    <t xml:space="preserve">Null unless Dropped Out</t>
  </si>
  <si>
    <t xml:space="preserve">2019</t>
  </si>
  <si>
    <t xml:space="preserve">years_to_outcome</t>
  </si>
  <si>
    <t xml:space="preserve">Years from entry to graduation or dropout</t>
  </si>
  <si>
    <t xml:space="preserve">Null when Enrolled (Active)</t>
  </si>
  <si>
    <t xml:space="preserve">cumulative_gpa</t>
  </si>
  <si>
    <t xml:space="preserve">Cumulative GPA at outcome or as-of date</t>
  </si>
  <si>
    <t xml:space="preserve">0.50-4.00</t>
  </si>
  <si>
    <t xml:space="preserve">1.63</t>
  </si>
  <si>
    <t xml:space="preserve">Source table</t>
  </si>
  <si>
    <t xml:space="preserve">Source column</t>
  </si>
  <si>
    <t xml:space="preserve">Tableau field name</t>
  </si>
  <si>
    <t xml:space="preserve">Tableau data type</t>
  </si>
  <si>
    <t xml:space="preserve">Role</t>
  </si>
  <si>
    <t xml:space="preserve">Transformation / rule</t>
  </si>
  <si>
    <t xml:space="preserve">Validation</t>
  </si>
  <si>
    <t xml:space="preserve">Null handling</t>
  </si>
  <si>
    <t xml:space="preserve">Status</t>
  </si>
  <si>
    <t xml:space="preserve">College ID</t>
  </si>
  <si>
    <t xml:space="preserve">String</t>
  </si>
  <si>
    <t xml:space="preserve">Dimension</t>
  </si>
  <si>
    <t xml:space="preserve">None</t>
  </si>
  <si>
    <t xml:space="preserve">Not null; unique</t>
  </si>
  <si>
    <t xml:space="preserve">Not expected</t>
  </si>
  <si>
    <t xml:space="preserve">Not started</t>
  </si>
  <si>
    <t xml:space="preserve">College</t>
  </si>
  <si>
    <t xml:space="preserve">Not null</t>
  </si>
  <si>
    <t xml:space="preserve">State</t>
  </si>
  <si>
    <t xml:space="preserve">String (geo role)</t>
  </si>
  <si>
    <t xml:space="preserve">Assign geographic role State/Province</t>
  </si>
  <si>
    <t xml:space="preserve">Valid U.S. state postal code</t>
  </si>
  <si>
    <t xml:space="preserve">Excluded from map only</t>
  </si>
  <si>
    <t xml:space="preserve">Region</t>
  </si>
  <si>
    <t xml:space="preserve">Control Type</t>
  </si>
  <si>
    <t xml:space="preserve">Size Tier</t>
  </si>
  <si>
    <t xml:space="preserve">Selectivity Tier</t>
  </si>
  <si>
    <t xml:space="preserve">Application ID</t>
  </si>
  <si>
    <t xml:space="preserve">Application Year</t>
  </si>
  <si>
    <t xml:space="preserve">Number (whole)</t>
  </si>
  <si>
    <t xml:space="preserve">Convert to Dimension (discrete)</t>
  </si>
  <si>
    <t xml:space="preserve">n/a</t>
  </si>
  <si>
    <t xml:space="preserve">Discovery Channel</t>
  </si>
  <si>
    <t xml:space="preserve">One of 8 allowed values</t>
  </si>
  <si>
    <t xml:space="preserve">Applicant State</t>
  </si>
  <si>
    <t xml:space="preserve">Valid postal code</t>
  </si>
  <si>
    <t xml:space="preserve">Intended Field</t>
  </si>
  <si>
    <t xml:space="preserve">Admitted Flag</t>
  </si>
  <si>
    <t xml:space="preserve">Measure</t>
  </si>
  <si>
    <t xml:space="preserve">Leave as Measure (SUM gives admits)</t>
  </si>
  <si>
    <t xml:space="preserve">Enrolled Flag</t>
  </si>
  <si>
    <t xml:space="preserve">Leave as Measure (SUM gives enrollments)</t>
  </si>
  <si>
    <t xml:space="preserve">0 or 1; 1 only if admitted</t>
  </si>
  <si>
    <t xml:space="preserve">Student ID</t>
  </si>
  <si>
    <t xml:space="preserve">Unique; lineage only</t>
  </si>
  <si>
    <t xml:space="preserve">Cohort Year</t>
  </si>
  <si>
    <t xml:space="preserve">2018-2025; drives Completed Cohort rule</t>
  </si>
  <si>
    <t xml:space="preserve">Field of Study</t>
  </si>
  <si>
    <t xml:space="preserve">STEM Flag</t>
  </si>
  <si>
    <t xml:space="preserve">Family Income Band</t>
  </si>
  <si>
    <t xml:space="preserve">First-Gen Flag</t>
  </si>
  <si>
    <t xml:space="preserve">In-State Flag</t>
  </si>
  <si>
    <t xml:space="preserve">HS GPA</t>
  </si>
  <si>
    <t xml:space="preserve">Number (decimal)</t>
  </si>
  <si>
    <t xml:space="preserve">Number (decimal), 2 places</t>
  </si>
  <si>
    <t xml:space="preserve">Enrollment Status</t>
  </si>
  <si>
    <t xml:space="preserve">None (values used as-is)</t>
  </si>
  <si>
    <t xml:space="preserve">One of 3 allowed values</t>
  </si>
  <si>
    <t xml:space="preserve">Graduation Year</t>
  </si>
  <si>
    <t xml:space="preserve">Convert to Dimension; keep as whole number</t>
  </si>
  <si>
    <t xml:space="preserve">Null unless status = Graduated</t>
  </si>
  <si>
    <t xml:space="preserve">Nulls expected for non-graduates</t>
  </si>
  <si>
    <t xml:space="preserve">Dropout Year</t>
  </si>
  <si>
    <t xml:space="preserve">Null unless status = Dropped Out</t>
  </si>
  <si>
    <t xml:space="preserve">Nulls expected for non-dropouts</t>
  </si>
  <si>
    <t xml:space="preserve">Years to Outcome</t>
  </si>
  <si>
    <t xml:space="preserve">Convert to Dimension (discrete) for cohort-survival view</t>
  </si>
  <si>
    <t xml:space="preserve">1-6; null when Active</t>
  </si>
  <si>
    <t xml:space="preserve">Nulls expected for active students</t>
  </si>
  <si>
    <t xml:space="preserve">Cumulative GPA</t>
  </si>
  <si>
    <t xml:space="preserve">(derived)</t>
  </si>
  <si>
    <t xml:space="preserve">Is Graduate</t>
  </si>
  <si>
    <t xml:space="preserve">IF [Enrollment Status] = "Graduated" THEN 1 ELSE 0 END</t>
  </si>
  <si>
    <t xml:space="preserve">Result is 0 or 1</t>
  </si>
  <si>
    <t xml:space="preserve">Is Dropout</t>
  </si>
  <si>
    <t xml:space="preserve">IF [Enrollment Status] = "Dropped Out" THEN 1 ELSE 0 END</t>
  </si>
  <si>
    <t xml:space="preserve">Is Active</t>
  </si>
  <si>
    <t xml:space="preserve">IF [Enrollment Status] = "Enrolled (Active)" THEN 1 ELSE 0 END</t>
  </si>
  <si>
    <t xml:space="preserve">Is Graduate + Is Dropout + Is Active = 1</t>
  </si>
  <si>
    <t xml:space="preserve">Completed Cohort</t>
  </si>
  <si>
    <t xml:space="preserve">Boolean</t>
  </si>
  <si>
    <t xml:space="preserve">[Cohort Year] &lt;= [Last Complete Cohort]  (parameter, default 2020)</t>
  </si>
  <si>
    <t xml:space="preserve">TRUE for cohorts 2018-2020 at default</t>
  </si>
  <si>
    <t xml:space="preserve">Last Complete Cohort</t>
  </si>
  <si>
    <t xml:space="preserve">Parameter (integer)</t>
  </si>
  <si>
    <t xml:space="preserve">Parameter</t>
  </si>
  <si>
    <t xml:space="preserve">Default 2020; range 2018-2025</t>
  </si>
  <si>
    <t xml:space="preserve">Drives Completed Cohort</t>
  </si>
  <si>
    <t xml:space="preserve">Completed Student</t>
  </si>
  <si>
    <t xml:space="preserve">IF [Completed Cohort] THEN 1 ELSE 0 END</t>
  </si>
  <si>
    <t xml:space="preserve">Completed Graduate</t>
  </si>
  <si>
    <t xml:space="preserve">IF [Completed Cohort] THEN [Is Graduate] ELSE 0 END</t>
  </si>
  <si>
    <t xml:space="preserve">Completed Dropout</t>
  </si>
  <si>
    <t xml:space="preserve">IF [Completed Cohort] THEN [Is Dropout] ELSE 0 END</t>
  </si>
  <si>
    <t xml:space="preserve">FY Dropout</t>
  </si>
  <si>
    <t xml:space="preserve">IF [Is Dropout] = 1 AND [Years to Outcome] = 1 THEN 1 ELSE 0 END</t>
  </si>
  <si>
    <t xml:space="preserve">Completed FY Dropout</t>
  </si>
  <si>
    <t xml:space="preserve">IF [Completed Cohort] THEN [FY Dropout] ELSE 0 END</t>
  </si>
  <si>
    <t xml:space="preserve">Completed GPA Sum</t>
  </si>
  <si>
    <t xml:space="preserve">IF [Completed Cohort] THEN [Cumulative GPA] ELSE 0 END</t>
  </si>
  <si>
    <t xml:space="preserve">Sum / Completed Student = Avg GPA</t>
  </si>
  <si>
    <t xml:space="preserve">ID</t>
  </si>
  <si>
    <t xml:space="preserve">Check</t>
  </si>
  <si>
    <t xml:space="preserve">Expected (from extract)</t>
  </si>
  <si>
    <t xml:space="preserve">Tableau actual (enter)</t>
  </si>
  <si>
    <t xml:space="preserve">Match?</t>
  </si>
  <si>
    <t xml:space="preserve">How to check in Tableau</t>
  </si>
  <si>
    <t xml:space="preserve">REC-01</t>
  </si>
  <si>
    <t xml:space="preserve">Colleges loaded</t>
  </si>
  <si>
    <t xml:space="preserve">Row count of dim_college (Number of Records)</t>
  </si>
  <si>
    <t xml:space="preserve">REC-02</t>
  </si>
  <si>
    <t xml:space="preserve">Applications loaded</t>
  </si>
  <si>
    <t xml:space="preserve">Number of Records for fact_applications</t>
  </si>
  <si>
    <t xml:space="preserve">REC-03</t>
  </si>
  <si>
    <t xml:space="preserve">Enrolled students loaded</t>
  </si>
  <si>
    <t xml:space="preserve">Number of Records for fact_students</t>
  </si>
  <si>
    <t xml:space="preserve">REC-04</t>
  </si>
  <si>
    <t xml:space="preserve">Applications with enrolled_flag = 1 equals student rows</t>
  </si>
  <si>
    <t xml:space="preserve">SUM of Enrolled Flag</t>
  </si>
  <si>
    <t xml:space="preserve">REC-05</t>
  </si>
  <si>
    <t xml:space="preserve">Admitted applications</t>
  </si>
  <si>
    <t xml:space="preserve">SUM of Admitted Flag</t>
  </si>
  <si>
    <t xml:space="preserve">REC-06</t>
  </si>
  <si>
    <t xml:space="preserve">Students with status Graduated</t>
  </si>
  <si>
    <t xml:space="preserve">Count of Student ID, filter Enrollment Status</t>
  </si>
  <si>
    <t xml:space="preserve">REC-07</t>
  </si>
  <si>
    <t xml:space="preserve">Students with status Dropped Out</t>
  </si>
  <si>
    <t xml:space="preserve">REC-08</t>
  </si>
  <si>
    <t xml:space="preserve">Students with status Enrolled (Active)</t>
  </si>
  <si>
    <t xml:space="preserve">REC-09</t>
  </si>
  <si>
    <t xml:space="preserve">Duplicate student_id values</t>
  </si>
  <si>
    <t xml:space="preserve">Count of Student ID minus Count Distinct of Student ID</t>
  </si>
  <si>
    <t xml:space="preserve">REC-10</t>
  </si>
  <si>
    <t xml:space="preserve">Distinct colleges appearing in students</t>
  </si>
  <si>
    <t xml:space="preserve">Count Distinct of College ID (students)</t>
  </si>
  <si>
    <t xml:space="preserve">REC-11</t>
  </si>
  <si>
    <t xml:space="preserve">Students in completed cohorts (2018-2020)</t>
  </si>
  <si>
    <t xml:space="preserve">Count of Student ID, Cohort Year &lt;= 2020</t>
  </si>
  <si>
    <t xml:space="preserve">REC-12</t>
  </si>
  <si>
    <t xml:space="preserve">Active students inside completed cohorts</t>
  </si>
  <si>
    <t xml:space="preserve">Count of Student ID, Cohort Year &lt;= 2020, status Active</t>
  </si>
  <si>
    <t xml:space="preserve">REC-13</t>
  </si>
  <si>
    <t xml:space="preserve">Distinct discovery channels</t>
  </si>
  <si>
    <t xml:space="preserve">Count Distinct of Discovery Channel</t>
  </si>
  <si>
    <t xml:space="preserve">REC-14</t>
  </si>
  <si>
    <t xml:space="preserve">Distinct fields of study</t>
  </si>
  <si>
    <t xml:space="preserve">Count Distinct of Field of Study</t>
  </si>
  <si>
    <t xml:space="preserve">REC-15</t>
  </si>
  <si>
    <t xml:space="preserve">Distinct cohort years</t>
  </si>
  <si>
    <t xml:space="preserve">Count Distinct of Cohort Year</t>
  </si>
  <si>
    <t xml:space="preserve">REC-16</t>
  </si>
  <si>
    <t xml:space="preserve">Enrolled applications not admitted (should be 0)</t>
  </si>
  <si>
    <t xml:space="preserve">Filter Enrolled Flag = 1 and Admitted Flag = 0</t>
  </si>
  <si>
    <t xml:space="preserve">REC-17</t>
  </si>
  <si>
    <t xml:space="preserve">Graduation Year nulls equal non-graduates</t>
  </si>
  <si>
    <t xml:space="preserve">Count of records where Graduation Year is Null</t>
  </si>
  <si>
    <t xml:space="preserve">Tie-out</t>
  </si>
  <si>
    <t xml:space="preserve">Graduated + Dropped Out + Active minus student rows (expected 0)</t>
  </si>
  <si>
    <t xml:space="preserve">Checks passed / entered</t>
  </si>
  <si>
    <t xml:space="preserve">Epic</t>
  </si>
  <si>
    <t xml:space="preserve">As a (persona)</t>
  </si>
  <si>
    <t xml:space="preserve">I want to</t>
  </si>
  <si>
    <t xml:space="preserve">So that</t>
  </si>
  <si>
    <t xml:space="preserve">Priority</t>
  </si>
  <si>
    <t xml:space="preserve">Acceptance criteria</t>
  </si>
  <si>
    <t xml:space="preserve">Linked BR</t>
  </si>
  <si>
    <t xml:space="preserve">Linked FR</t>
  </si>
  <si>
    <t xml:space="preserve">Build step</t>
  </si>
  <si>
    <t xml:space="preserve">US-01</t>
  </si>
  <si>
    <t xml:space="preserve">E1 Admissions and discovery</t>
  </si>
  <si>
    <t xml:space="preserve">VP Enrollment Management</t>
  </si>
  <si>
    <t xml:space="preserve">I want to see the funnel from applications to admits to enrollments by discovery channel</t>
  </si>
  <si>
    <t xml:space="preserve">So that I can see where applicants drop out of the funnel</t>
  </si>
  <si>
    <t xml:space="preserve">Must</t>
  </si>
  <si>
    <t xml:space="preserve">Given the Admissions dashboard, When I view the funnel, Then applications, admitted and enrolled counts are shown for each of the 8 channels.
And totals equal KPI-01 and KPI-04 when no filter is applied.</t>
  </si>
  <si>
    <t xml:space="preserve">BR-01</t>
  </si>
  <si>
    <t xml:space="preserve">FR-05</t>
  </si>
  <si>
    <t xml:space="preserve">Step 4</t>
  </si>
  <si>
    <t xml:space="preserve">US-02</t>
  </si>
  <si>
    <t xml:space="preserve">I want to rank channels by yield rate with application volume visible</t>
  </si>
  <si>
    <t xml:space="preserve">So that I recruit through channels that convert, not only channels that bring volume</t>
  </si>
  <si>
    <t xml:space="preserve">Given the channel ranking, When it loads, Then channels are sorted by Yield Rate (enrolled / admitted) descending.
And the top channel equals the reference value in the workbook.</t>
  </si>
  <si>
    <t xml:space="preserve">FR-06</t>
  </si>
  <si>
    <t xml:space="preserve">US-03</t>
  </si>
  <si>
    <t xml:space="preserve">I want to see how channel mix changes by application year</t>
  </si>
  <si>
    <t xml:space="preserve">So that I can spot growing channels such as social media</t>
  </si>
  <si>
    <t xml:space="preserve">Should</t>
  </si>
  <si>
    <t xml:space="preserve">Given the mix view, When I read it, Then each year shows channel share of applications summing to 100%.</t>
  </si>
  <si>
    <t xml:space="preserve">FR-07</t>
  </si>
  <si>
    <t xml:space="preserve">US-04</t>
  </si>
  <si>
    <t xml:space="preserve">Institutional Research Director</t>
  </si>
  <si>
    <t xml:space="preserve">I want to see enrollment by cohort year split by control type</t>
  </si>
  <si>
    <t xml:space="preserve">So that I understand enrollment trend by institution type</t>
  </si>
  <si>
    <t xml:space="preserve">Given the enrollment view, When it loads, Then enrolled students by cohort year are shown by control type.
And the sum across years equals KPI-04.</t>
  </si>
  <si>
    <t xml:space="preserve">BR-02</t>
  </si>
  <si>
    <t xml:space="preserve">FR-08</t>
  </si>
  <si>
    <t xml:space="preserve">US-05</t>
  </si>
  <si>
    <t xml:space="preserve">I want to filter enrollment to one college</t>
  </si>
  <si>
    <t xml:space="preserve">So that I can review a single college in detail</t>
  </si>
  <si>
    <t xml:space="preserve">Given the College filter or a click on a college, When applied, Then enrollment and KPI tiles update for that college only.</t>
  </si>
  <si>
    <t xml:space="preserve">FR-08, FR-18</t>
  </si>
  <si>
    <t xml:space="preserve">US-06</t>
  </si>
  <si>
    <t xml:space="preserve">E2 Outcomes and performance</t>
  </si>
  <si>
    <t xml:space="preserve">Academic Dean</t>
  </si>
  <si>
    <t xml:space="preserve">I want to see graduated, dropped out and active share by cohort</t>
  </si>
  <si>
    <t xml:space="preserve">So that I understand how each cohort is progressing</t>
  </si>
  <si>
    <t xml:space="preserve">Given the status view, When I read a cohort, Then Graduated, Dropped Out and Active shares sum to 100%.
And cohorts 2018-2020 show 0 active students.</t>
  </si>
  <si>
    <t xml:space="preserve">BR-03</t>
  </si>
  <si>
    <t xml:space="preserve">FR-09</t>
  </si>
  <si>
    <t xml:space="preserve">US-07</t>
  </si>
  <si>
    <t xml:space="preserve">I want to rank fields of study by graduation rate and dropout rate</t>
  </si>
  <si>
    <t xml:space="preserve">So that I can compare departments on a fair basis</t>
  </si>
  <si>
    <t xml:space="preserve">Given the field ranking, When it loads, Then all 10 fields are ranked using completed cohorts only.
And values match the Ref Field sheet.</t>
  </si>
  <si>
    <t xml:space="preserve">BR-04</t>
  </si>
  <si>
    <t xml:space="preserve">FR-10</t>
  </si>
  <si>
    <t xml:space="preserve">US-08</t>
  </si>
  <si>
    <t xml:space="preserve">I want to see the highest and lowest fields clearly flagged</t>
  </si>
  <si>
    <t xml:space="preserve">So that I can spot strong and at-risk fields immediately</t>
  </si>
  <si>
    <t xml:space="preserve">Given the field ranking, When I view it, Then the highest graduation field and the highest dropout field are visibly highlighted with a legend.</t>
  </si>
  <si>
    <t xml:space="preserve">US-09</t>
  </si>
  <si>
    <t xml:space="preserve">Student Success Lead</t>
  </si>
  <si>
    <t xml:space="preserve">I want to see when students leave (year of dropout)</t>
  </si>
  <si>
    <t xml:space="preserve">So that I can time retention support</t>
  </si>
  <si>
    <t xml:space="preserve">Could</t>
  </si>
  <si>
    <t xml:space="preserve">Given the time-to-dropout view, When I read it, Then dropouts are counted by Years to Outcome and sum to the dropout total.</t>
  </si>
  <si>
    <t xml:space="preserve">FR-11</t>
  </si>
  <si>
    <t xml:space="preserve">US-10</t>
  </si>
  <si>
    <t xml:space="preserve">I want to rank colleges on the Performance Index with its three components</t>
  </si>
  <si>
    <t xml:space="preserve">So that I can see which colleges perform best and why</t>
  </si>
  <si>
    <t xml:space="preserve">Given the college ranking, When it loads, Then all 30 colleges show Index, Graduation Rate, First-Year Retention and Avg GPA.
And values match the Ref College sheet.</t>
  </si>
  <si>
    <t xml:space="preserve">BR-05</t>
  </si>
  <si>
    <t xml:space="preserve">FR-12</t>
  </si>
  <si>
    <t xml:space="preserve">US-11</t>
  </si>
  <si>
    <t xml:space="preserve">I want to see graduation rate by discovery channel</t>
  </si>
  <si>
    <t xml:space="preserve">So that I can explore whether channel relates to completion</t>
  </si>
  <si>
    <t xml:space="preserve">Given the channel outcome view, When it loads, Then Graduation Rate (completed cohorts) is shown per channel with a caution note that differences are exploratory.</t>
  </si>
  <si>
    <t xml:space="preserve">BR-01, BR-03</t>
  </si>
  <si>
    <t xml:space="preserve">FR-13</t>
  </si>
  <si>
    <t xml:space="preserve">US-12</t>
  </si>
  <si>
    <t xml:space="preserve">E3 Segmentation and interaction</t>
  </si>
  <si>
    <t xml:space="preserve">I want to filter by control type, region, size tier and selectivity tier</t>
  </si>
  <si>
    <t xml:space="preserve">So that I can compare like with like</t>
  </si>
  <si>
    <t xml:space="preserve">Given the global filters, When I select values, Then every view and KPI on the dashboard updates.</t>
  </si>
  <si>
    <t xml:space="preserve">BR-06</t>
  </si>
  <si>
    <t xml:space="preserve">FR-17</t>
  </si>
  <si>
    <t xml:space="preserve">US-13</t>
  </si>
  <si>
    <t xml:space="preserve">I want to filter by STEM flag, first-gen flag and family income band</t>
  </si>
  <si>
    <t xml:space="preserve">So that I can see outcomes for specific student groups</t>
  </si>
  <si>
    <t xml:space="preserve">Given the student filters, When I select a group, Then outcome views update and KPI counts reflect the group.</t>
  </si>
  <si>
    <t xml:space="preserve">US-14</t>
  </si>
  <si>
    <t xml:space="preserve">I want to click a field, channel or college to cross-filter other views</t>
  </si>
  <si>
    <t xml:space="preserve">So that I can explore without resetting filters</t>
  </si>
  <si>
    <t xml:space="preserve">Given a view, When I click a mark, Then related views filter or highlight per the action table.
And clicking a blank area clears the selection.</t>
  </si>
  <si>
    <t xml:space="preserve">BR-04, BR-05</t>
  </si>
  <si>
    <t xml:space="preserve">FR-18</t>
  </si>
  <si>
    <t xml:space="preserve">US-15</t>
  </si>
  <si>
    <t xml:space="preserve">Business Analyst</t>
  </si>
  <si>
    <t xml:space="preserve">I want to change the Last Complete Cohort parameter</t>
  </si>
  <si>
    <t xml:space="preserve">So that I can see how the completed-cohort rule affects rates</t>
  </si>
  <si>
    <t xml:space="preserve">Given the parameter control, When I change it from 2020 to 2019, Then completed-cohort KPIs recalculate for cohorts 2018-2019.</t>
  </si>
  <si>
    <t xml:space="preserve">BR-09</t>
  </si>
  <si>
    <t xml:space="preserve">FR-19</t>
  </si>
  <si>
    <t xml:space="preserve">US-16</t>
  </si>
  <si>
    <t xml:space="preserve">E4 KPI governance</t>
  </si>
  <si>
    <t xml:space="preserve">I want to see KPI tiles that follow the governed definitions</t>
  </si>
  <si>
    <t xml:space="preserve">So that numbers are consistent across teams</t>
  </si>
  <si>
    <t xml:space="preserve">Given a dashboard, When it loads with no filters, Then each KPI tile equals its reference value in the KPI Definitions sheet.</t>
  </si>
  <si>
    <t xml:space="preserve">BR-07</t>
  </si>
  <si>
    <t xml:space="preserve">FR-14</t>
  </si>
  <si>
    <t xml:space="preserve">US-17</t>
  </si>
  <si>
    <t xml:space="preserve">Hiring manager</t>
  </si>
  <si>
    <t xml:space="preserve">I want to open the definition of each KPI from the dashboard</t>
  </si>
  <si>
    <t xml:space="preserve">So that I understand what each number means without asking</t>
  </si>
  <si>
    <t xml:space="preserve">Given the dashboard, When I open the info panel or hover a KPI, Then its definition and formula summary are shown.</t>
  </si>
  <si>
    <t xml:space="preserve">FR-15</t>
  </si>
  <si>
    <t xml:space="preserve">US-18</t>
  </si>
  <si>
    <t xml:space="preserve">I want to see a synthetic-data banner, the as-of date and the censoring note</t>
  </si>
  <si>
    <t xml:space="preserve">So that I do not mistake the findings for real-world facts</t>
  </si>
  <si>
    <t xml:space="preserve">Given any dashboard, When it loads, Then the banner, as-of date 2026-08-31 and the note on recent cohorts are visible.</t>
  </si>
  <si>
    <t xml:space="preserve">BR-09, BR-10</t>
  </si>
  <si>
    <t xml:space="preserve">FR-16</t>
  </si>
  <si>
    <t xml:space="preserve">US-19</t>
  </si>
  <si>
    <t xml:space="preserve">E5 LOD Lab</t>
  </si>
  <si>
    <t xml:space="preserve">I want to compare a benchmark dropout rate from a table calculation, EXCLUDE LOD and FIXED LOD</t>
  </si>
  <si>
    <t xml:space="preserve">So that I can explain how each responds to filters</t>
  </si>
  <si>
    <t xml:space="preserve">Given demo A, When I filter Control Type, Then the table-calculation and EXCLUDE benchmarks change while the FIXED benchmark does not.
And values match the reference values.</t>
  </si>
  <si>
    <t xml:space="preserve">BR-08</t>
  </si>
  <si>
    <t xml:space="preserve">FR-20</t>
  </si>
  <si>
    <t xml:space="preserve">Step 5</t>
  </si>
  <si>
    <t xml:space="preserve">US-20</t>
  </si>
  <si>
    <t xml:space="preserve">I want to compare percent of total as a table calculation and as a FIXED LOD</t>
  </si>
  <si>
    <t xml:space="preserve">So that I can explain why shares sum to 100% in one and not the other</t>
  </si>
  <si>
    <t xml:space="preserve">Given demo B with Control Type = Public, When I read the shares, Then the table-calculation shares sum to 100% and the LOD shares sum to the public share of all students.</t>
  </si>
  <si>
    <t xml:space="preserve">FR-21</t>
  </si>
  <si>
    <t xml:space="preserve">US-21</t>
  </si>
  <si>
    <t xml:space="preserve">I want to compare a pooled graduation rate with the average of college rates</t>
  </si>
  <si>
    <t xml:space="preserve">So that I can show how weighting changes a KPI</t>
  </si>
  <si>
    <t xml:space="preserve">Given demo C, When I compare values, Then pooled and average-of-college graduation rates are shown overall and by field with the difference in points.</t>
  </si>
  <si>
    <t xml:space="preserve">FR-22</t>
  </si>
  <si>
    <t xml:space="preserve">US-22</t>
  </si>
  <si>
    <t xml:space="preserve">I want to compare a FIXED LOD under a normal filter and under a context filter</t>
  </si>
  <si>
    <t xml:space="preserve">So that I can explain the order of operations</t>
  </si>
  <si>
    <t xml:space="preserve">Given demo D, When I move Control Type to context, Then the FIXED benchmark changes to the filtered population.</t>
  </si>
  <si>
    <t xml:space="preserve">FR-23</t>
  </si>
  <si>
    <t xml:space="preserve">US-23</t>
  </si>
  <si>
    <t xml:space="preserve">I want to read annotations with the expected values for each demo</t>
  </si>
  <si>
    <t xml:space="preserve">So that I can verify the lab is correct</t>
  </si>
  <si>
    <t xml:space="preserve">Given the lab dashboard, When I read an annotation, Then it states the filter setting and the expected values.</t>
  </si>
  <si>
    <t xml:space="preserve">FR-24</t>
  </si>
  <si>
    <t xml:space="preserve">US-24</t>
  </si>
  <si>
    <t xml:space="preserve">E6 Delivery</t>
  </si>
  <si>
    <t xml:space="preserve">I want to open the dashboard from a public link without logging in</t>
  </si>
  <si>
    <t xml:space="preserve">So that I can review the work quickly</t>
  </si>
  <si>
    <t xml:space="preserve">Given the Tableau Public URL, When I open it in a supported browser, Then it loads in 5 seconds or less without login.</t>
  </si>
  <si>
    <t xml:space="preserve">BR-10</t>
  </si>
  <si>
    <t xml:space="preserve">FR-25</t>
  </si>
  <si>
    <t xml:space="preserve">Step 8</t>
  </si>
  <si>
    <t xml:space="preserve">US-25</t>
  </si>
  <si>
    <t xml:space="preserve">Color-blind viewer</t>
  </si>
  <si>
    <t xml:space="preserve">I want to use a palette I can distinguish</t>
  </si>
  <si>
    <t xml:space="preserve">So that I can read every chart accurately</t>
  </si>
  <si>
    <t xml:space="preserve">Given a color-blind simulation, When I view the dashboards, Then categories remain distinguishable and meaning does not depend on color alone.</t>
  </si>
  <si>
    <t xml:space="preserve">FR-26</t>
  </si>
  <si>
    <t xml:space="preserve">US-26</t>
  </si>
  <si>
    <t xml:space="preserve">E7 Data preparation</t>
  </si>
  <si>
    <t xml:space="preserve">I want to work from a typed, related data source with correct geographic roles</t>
  </si>
  <si>
    <t xml:space="preserve">So that calculations and maps are reliable</t>
  </si>
  <si>
    <t xml:space="preserve">Given the three CSV files, When the data source is set up, Then relationships use college_id, State has a geographic role and year fields are dimensions.</t>
  </si>
  <si>
    <t xml:space="preserve">FR-01, FR-02</t>
  </si>
  <si>
    <t xml:space="preserve">US-27</t>
  </si>
  <si>
    <t xml:space="preserve">I want to have helper flags and the Completed Cohort rule</t>
  </si>
  <si>
    <t xml:space="preserve">So that every KPI is a simple, auditable ratio of sums</t>
  </si>
  <si>
    <t xml:space="preserve">Given the helper fields, When I test them, Then Is Graduate + Is Dropout + Is Active = 1 for every student and Completed Cohort is TRUE only for cohorts 2018-2020 at the default parameter.</t>
  </si>
  <si>
    <t xml:space="preserve">BR-03, BR-09</t>
  </si>
  <si>
    <t xml:space="preserve">FR-03</t>
  </si>
  <si>
    <t xml:space="preserve">US-28</t>
  </si>
  <si>
    <t xml:space="preserve">I want to reconcile Tableau counts to the Reconciliation sheet</t>
  </si>
  <si>
    <t xml:space="preserve">So that I can prove the data loaded correctly</t>
  </si>
  <si>
    <t xml:space="preserve">Given the Reconciliation sheet, When I enter Tableau values, Then all 17 checks show OK.</t>
  </si>
  <si>
    <t xml:space="preserve">FR-04</t>
  </si>
  <si>
    <t xml:space="preserve">KPI</t>
  </si>
  <si>
    <t xml:space="preserve">Business definition</t>
  </si>
  <si>
    <t xml:space="preserve">Tableau formula</t>
  </si>
  <si>
    <t xml:space="preserve">Rule / filter</t>
  </si>
  <si>
    <t xml:space="preserve">Reference value (no filters)</t>
  </si>
  <si>
    <t xml:space="preserve">KPI-01</t>
  </si>
  <si>
    <t xml:space="preserve">Total Applications</t>
  </si>
  <si>
    <t xml:space="preserve">Number of applications received</t>
  </si>
  <si>
    <t xml:space="preserve">COUNT([Application ID])</t>
  </si>
  <si>
    <t xml:space="preserve">KPI-02</t>
  </si>
  <si>
    <t xml:space="preserve">Admit Rate</t>
  </si>
  <si>
    <t xml:space="preserve">Admitted applications divided by applications</t>
  </si>
  <si>
    <t xml:space="preserve">SUM([Admitted Flag]) / COUNT([Application ID])</t>
  </si>
  <si>
    <t xml:space="preserve">KPI-03</t>
  </si>
  <si>
    <t xml:space="preserve">Yield Rate</t>
  </si>
  <si>
    <t xml:space="preserve">Enrolled divided by admitted (BRU-06)</t>
  </si>
  <si>
    <t xml:space="preserve">SUM([Enrolled Flag]) / SUM([Admitted Flag])</t>
  </si>
  <si>
    <t xml:space="preserve">KPI-04</t>
  </si>
  <si>
    <t xml:space="preserve">Enrolled Students</t>
  </si>
  <si>
    <t xml:space="preserve">Number of new entrants</t>
  </si>
  <si>
    <t xml:space="preserve">COUNT([Student ID])</t>
  </si>
  <si>
    <t xml:space="preserve">KPI-05</t>
  </si>
  <si>
    <t xml:space="preserve">Graduation Rate (6-yr)</t>
  </si>
  <si>
    <t xml:space="preserve">Graduates divided by students, completed cohorts</t>
  </si>
  <si>
    <t xml:space="preserve">SUM([Completed Graduate]) / SUM([Completed Student])</t>
  </si>
  <si>
    <t xml:space="preserve">Cohort Year &lt;= Last Complete Cohort (2020)</t>
  </si>
  <si>
    <t xml:space="preserve">KPI-06</t>
  </si>
  <si>
    <t xml:space="preserve">Dropout Rate (completed cohorts)</t>
  </si>
  <si>
    <t xml:space="preserve">Dropouts divided by students, completed cohorts</t>
  </si>
  <si>
    <t xml:space="preserve">SUM([Completed Dropout]) / SUM([Completed Student])</t>
  </si>
  <si>
    <t xml:space="preserve">Completed cohorts</t>
  </si>
  <si>
    <t xml:space="preserve">KPI-07</t>
  </si>
  <si>
    <t xml:space="preserve">Attrition to Date</t>
  </si>
  <si>
    <t xml:space="preserve">Dropouts divided by all students, all cohorts (BRU-04)</t>
  </si>
  <si>
    <t xml:space="preserve">SUM([Is Dropout]) / COUNT([Student ID])</t>
  </si>
  <si>
    <t xml:space="preserve">All cohorts; active students in denominator</t>
  </si>
  <si>
    <t xml:space="preserve">KPI-08</t>
  </si>
  <si>
    <t xml:space="preserve">First-Year Retention</t>
  </si>
  <si>
    <t xml:space="preserve">1 minus first-year dropout share, completed cohorts (BRU-08)</t>
  </si>
  <si>
    <t xml:space="preserve">1 - SUM([Completed FY Dropout]) / SUM([Completed Student])</t>
  </si>
  <si>
    <t xml:space="preserve">KPI-09</t>
  </si>
  <si>
    <t xml:space="preserve">College Performance Index</t>
  </si>
  <si>
    <t xml:space="preserve">Weighted index of graduation, retention and GPA per college (BRU-07)</t>
  </si>
  <si>
    <t xml:space="preserve">100 * (0.60 * [Graduation Rate] + 0.25 * [First-Year Retention] + 0.15 * [Avg GPA] / 4)</t>
  </si>
  <si>
    <t xml:space="preserve">Per college; completed cohorts</t>
  </si>
  <si>
    <t xml:space="preserve">Top 83.3; bottom 60.6; see Ref College</t>
  </si>
  <si>
    <t xml:space="preserve">KPI-10</t>
  </si>
  <si>
    <t xml:space="preserve">Top Channel by Yield</t>
  </si>
  <si>
    <t xml:space="preserve">Channel with the highest yield rate</t>
  </si>
  <si>
    <t xml:space="preserve">Sort channels by [Yield Rate] descending</t>
  </si>
  <si>
    <t xml:space="preserve">Campus Visit / Open House (53.1%)</t>
  </si>
  <si>
    <t xml:space="preserve">KPI-11 onward are reserved for approved future changes so existing IDs never change.</t>
  </si>
  <si>
    <t xml:space="preserve">Field of study (rates on completed cohorts 2018-2020; attrition to date on all cohorts)</t>
  </si>
  <si>
    <t xml:space="preserve">Rank by graduation</t>
  </si>
  <si>
    <t xml:space="preserve">Field of study</t>
  </si>
  <si>
    <t xml:space="preserve">Students (all cohorts)</t>
  </si>
  <si>
    <t xml:space="preserve">Students (completed cohorts)</t>
  </si>
  <si>
    <t xml:space="preserve">Graduation rate (6-yr)</t>
  </si>
  <si>
    <t xml:space="preserve">Dropout rate (completed)</t>
  </si>
  <si>
    <t xml:space="preserve">Attrition to date</t>
  </si>
  <si>
    <t xml:space="preserve">Nursing &amp; Health Sciences</t>
  </si>
  <si>
    <t xml:space="preserve">Education</t>
  </si>
  <si>
    <t xml:space="preserve">Business</t>
  </si>
  <si>
    <t xml:space="preserve">Biology &amp; Life Sciences</t>
  </si>
  <si>
    <t xml:space="preserve">Psychology</t>
  </si>
  <si>
    <t xml:space="preserve">Engineering</t>
  </si>
  <si>
    <t xml:space="preserve">Computer Science</t>
  </si>
  <si>
    <t xml:space="preserve">Social Sciences</t>
  </si>
  <si>
    <t xml:space="preserve">Status by cohort year</t>
  </si>
  <si>
    <t xml:space="preserve">Cohort year</t>
  </si>
  <si>
    <t xml:space="preserve">Graduated</t>
  </si>
  <si>
    <t xml:space="preserve">Enrolled (Active)</t>
  </si>
  <si>
    <t xml:space="preserve">Total</t>
  </si>
  <si>
    <t xml:space="preserve">Graduated share</t>
  </si>
  <si>
    <t xml:space="preserve">Dropped Out share</t>
  </si>
  <si>
    <t xml:space="preserve">Active share</t>
  </si>
  <si>
    <t xml:space="preserve">Discovery channel (ranked by yield rate; graduation rate on completed cohorts)</t>
  </si>
  <si>
    <t xml:space="preserve">Rank by yield</t>
  </si>
  <si>
    <t xml:space="preserve">Channel</t>
  </si>
  <si>
    <t xml:space="preserve">Applications</t>
  </si>
  <si>
    <t xml:space="preserve">Admitted</t>
  </si>
  <si>
    <t xml:space="preserve">Enrolled</t>
  </si>
  <si>
    <t xml:space="preserve">Admit rate</t>
  </si>
  <si>
    <t xml:space="preserve">Yield rate</t>
  </si>
  <si>
    <t xml:space="preserve">Share of enrolled</t>
  </si>
  <si>
    <t xml:space="preserve">Friends / Family / Alumni</t>
  </si>
  <si>
    <t xml:space="preserve">High School Counselor</t>
  </si>
  <si>
    <t xml:space="preserve">College Fair</t>
  </si>
  <si>
    <t xml:space="preserve">Online Search / Rankings Sites</t>
  </si>
  <si>
    <t xml:space="preserve">Social Media</t>
  </si>
  <si>
    <t xml:space="preserve">Advertising / Direct Mail</t>
  </si>
  <si>
    <t xml:space="preserve">Application year</t>
  </si>
  <si>
    <t xml:space="preserve">Year</t>
  </si>
  <si>
    <t xml:space="preserve">Social Media share of applications</t>
  </si>
  <si>
    <t xml:space="preserve">College Performance Index (completed cohorts 2018-2020; weights 0.60 / 0.25 / 0.15)</t>
  </si>
  <si>
    <t xml:space="preserve">Rank</t>
  </si>
  <si>
    <t xml:space="preserve">Control type</t>
  </si>
  <si>
    <t xml:space="preserve">Students (completed)</t>
  </si>
  <si>
    <t xml:space="preserve">Graduation rate</t>
  </si>
  <si>
    <t xml:space="preserve">First-year retention</t>
  </si>
  <si>
    <t xml:space="preserve">Avg GPA</t>
  </si>
  <si>
    <t xml:space="preserve">Performance Index</t>
  </si>
  <si>
    <t xml:space="preserve">C21</t>
  </si>
  <si>
    <t xml:space="preserve">University of Upland</t>
  </si>
  <si>
    <t xml:space="preserve">Private Nonprofit</t>
  </si>
  <si>
    <t xml:space="preserve">Midwest</t>
  </si>
  <si>
    <t xml:space="preserve">C11</t>
  </si>
  <si>
    <t xml:space="preserve">University of Kestrel</t>
  </si>
  <si>
    <t xml:space="preserve">South</t>
  </si>
  <si>
    <t xml:space="preserve">C20</t>
  </si>
  <si>
    <t xml:space="preserve">Timberline College</t>
  </si>
  <si>
    <t xml:space="preserve">C15</t>
  </si>
  <si>
    <t xml:space="preserve">Oakhurst College</t>
  </si>
  <si>
    <t xml:space="preserve">C03</t>
  </si>
  <si>
    <t xml:space="preserve">Cedar Ridge State University</t>
  </si>
  <si>
    <t xml:space="preserve">Public</t>
  </si>
  <si>
    <t xml:space="preserve">West</t>
  </si>
  <si>
    <t xml:space="preserve">C28</t>
  </si>
  <si>
    <t xml:space="preserve">Copperfield State University</t>
  </si>
  <si>
    <t xml:space="preserve">C02</t>
  </si>
  <si>
    <t xml:space="preserve">Brookhaven College</t>
  </si>
  <si>
    <t xml:space="preserve">C06</t>
  </si>
  <si>
    <t xml:space="preserve">University of Fairhaven</t>
  </si>
  <si>
    <t xml:space="preserve">C30</t>
  </si>
  <si>
    <t xml:space="preserve">Elmhurst State University</t>
  </si>
  <si>
    <t xml:space="preserve">C23</t>
  </si>
  <si>
    <t xml:space="preserve">Westbrook College</t>
  </si>
  <si>
    <t xml:space="preserve">C29</t>
  </si>
  <si>
    <t xml:space="preserve">Driftwood College</t>
  </si>
  <si>
    <t xml:space="preserve">C08</t>
  </si>
  <si>
    <t xml:space="preserve">Harborview College</t>
  </si>
  <si>
    <t xml:space="preserve">C16</t>
  </si>
  <si>
    <t xml:space="preserve">Pinecrest State University</t>
  </si>
  <si>
    <t xml:space="preserve">C25</t>
  </si>
  <si>
    <t xml:space="preserve">Zephyr Bay State University</t>
  </si>
  <si>
    <t xml:space="preserve">C18</t>
  </si>
  <si>
    <t xml:space="preserve">Redwater College</t>
  </si>
  <si>
    <t xml:space="preserve">C10</t>
  </si>
  <si>
    <t xml:space="preserve">Juniper Falls State University</t>
  </si>
  <si>
    <t xml:space="preserve">C22</t>
  </si>
  <si>
    <t xml:space="preserve">Valemont State University</t>
  </si>
  <si>
    <t xml:space="preserve">C12</t>
  </si>
  <si>
    <t xml:space="preserve">Lakemont College</t>
  </si>
  <si>
    <t xml:space="preserve">C07</t>
  </si>
  <si>
    <t xml:space="preserve">Glenmoor State University</t>
  </si>
  <si>
    <t xml:space="preserve">C14</t>
  </si>
  <si>
    <t xml:space="preserve">Northfield State University</t>
  </si>
  <si>
    <t xml:space="preserve">C19</t>
  </si>
  <si>
    <t xml:space="preserve">University of Stonebridge</t>
  </si>
  <si>
    <t xml:space="preserve">C13</t>
  </si>
  <si>
    <t xml:space="preserve">Maplewood State University</t>
  </si>
  <si>
    <t xml:space="preserve">C27</t>
  </si>
  <si>
    <t xml:space="preserve">Briarwood Institute</t>
  </si>
  <si>
    <t xml:space="preserve">C04</t>
  </si>
  <si>
    <t xml:space="preserve">Dunmore Institute</t>
  </si>
  <si>
    <t xml:space="preserve">C05</t>
  </si>
  <si>
    <t xml:space="preserve">Eastgate Institute</t>
  </si>
  <si>
    <t xml:space="preserve">C17</t>
  </si>
  <si>
    <t xml:space="preserve">Quarry Hill State University</t>
  </si>
  <si>
    <t xml:space="preserve">C26</t>
  </si>
  <si>
    <t xml:space="preserve">Ashford State University</t>
  </si>
  <si>
    <t xml:space="preserve">C09</t>
  </si>
  <si>
    <t xml:space="preserve">Ironwood Institute</t>
  </si>
  <si>
    <t xml:space="preserve">C24</t>
  </si>
  <si>
    <t xml:space="preserve">Yarrow Institute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</si>
</sst>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0.0"/>
    <numFmt numFmtId="168" formatCode="0"/>
    <numFmt numFmtId="169" formatCode="@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Consolas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30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</row>
    <row r="2" customFormat="false" ht="15" hidden="false" customHeight="false" outlineLevel="0" collapsed="false">
      <c r="A2" s="5" t="s">
        <v>20</v>
      </c>
      <c r="B2" s="5" t="s">
        <v>21</v>
      </c>
      <c r="C2" s="5" t="s">
        <v>22</v>
      </c>
      <c r="D2" s="5" t="s">
        <v>23</v>
      </c>
      <c r="E2" s="5" t="n">
        <v>30</v>
      </c>
      <c r="F2" s="5" t="s">
        <v>24</v>
      </c>
    </row>
    <row r="3" customFormat="false" ht="15" hidden="false" customHeight="false" outlineLevel="0" collapsed="false">
      <c r="A3" s="6" t="s">
        <v>25</v>
      </c>
      <c r="B3" s="6" t="s">
        <v>26</v>
      </c>
      <c r="C3" s="6" t="s">
        <v>27</v>
      </c>
      <c r="D3" s="6" t="s">
        <v>22</v>
      </c>
      <c r="E3" s="6" t="n">
        <v>92555</v>
      </c>
      <c r="F3" s="6" t="s">
        <v>28</v>
      </c>
    </row>
    <row r="4" customFormat="false" ht="23.8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n">
        <v>23121</v>
      </c>
      <c r="F4" s="5" t="s">
        <v>33</v>
      </c>
    </row>
    <row r="6" customFormat="false" ht="15" hidden="false" customHeight="false" outlineLevel="0" collapsed="false">
      <c r="A6" s="7" t="s">
        <v>34</v>
      </c>
    </row>
    <row r="7" customFormat="false" ht="15" hidden="false" customHeight="false" outlineLevel="0" collapsed="false">
      <c r="A7" s="8" t="s">
        <v>35</v>
      </c>
      <c r="B7" s="8" t="s">
        <v>36</v>
      </c>
      <c r="C7" s="8" t="s">
        <v>37</v>
      </c>
    </row>
    <row r="8" customFormat="false" ht="15" hidden="false" customHeight="false" outlineLevel="0" collapsed="false">
      <c r="A8" s="5" t="s">
        <v>38</v>
      </c>
      <c r="B8" s="5" t="s">
        <v>39</v>
      </c>
      <c r="C8" s="5" t="s">
        <v>40</v>
      </c>
    </row>
    <row r="9" customFormat="false" ht="15" hidden="false" customHeight="false" outlineLevel="0" collapsed="false">
      <c r="A9" s="5" t="s">
        <v>38</v>
      </c>
      <c r="B9" s="5" t="s">
        <v>41</v>
      </c>
      <c r="C9" s="5" t="s">
        <v>40</v>
      </c>
    </row>
    <row r="11" customFormat="false" ht="15" hidden="false" customHeight="false" outlineLevel="0" collapsed="false">
      <c r="A11" s="7" t="s">
        <v>42</v>
      </c>
    </row>
    <row r="12" customFormat="false" ht="31.5" hidden="false" customHeight="true" outlineLevel="0" collapsed="false">
      <c r="A12" s="9" t="s">
        <v>43</v>
      </c>
      <c r="B12" s="9"/>
      <c r="C12" s="9"/>
      <c r="D12" s="9"/>
      <c r="E12" s="9"/>
      <c r="F12" s="9"/>
    </row>
  </sheetData>
  <autoFilter ref="A1:F4"/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26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4" t="s">
        <v>14</v>
      </c>
      <c r="B1" s="4" t="s">
        <v>44</v>
      </c>
      <c r="C1" s="4" t="s">
        <v>45</v>
      </c>
      <c r="D1" s="4" t="s">
        <v>46</v>
      </c>
      <c r="E1" s="4" t="s">
        <v>47</v>
      </c>
      <c r="F1" s="4" t="s">
        <v>48</v>
      </c>
      <c r="G1" s="4" t="s">
        <v>49</v>
      </c>
      <c r="H1" s="4" t="s">
        <v>50</v>
      </c>
      <c r="I1" s="4" t="s">
        <v>51</v>
      </c>
      <c r="J1" s="4" t="s">
        <v>52</v>
      </c>
    </row>
    <row r="2" customFormat="false" ht="15" hidden="false" customHeight="false" outlineLevel="0" collapsed="false">
      <c r="A2" s="5" t="s">
        <v>20</v>
      </c>
      <c r="B2" s="5" t="s">
        <v>22</v>
      </c>
      <c r="C2" s="5" t="s">
        <v>53</v>
      </c>
      <c r="D2" s="5" t="s">
        <v>54</v>
      </c>
      <c r="E2" s="5" t="s">
        <v>16</v>
      </c>
      <c r="F2" s="5" t="s">
        <v>55</v>
      </c>
      <c r="G2" s="5" t="n">
        <v>0</v>
      </c>
      <c r="H2" s="5" t="n">
        <v>30</v>
      </c>
      <c r="I2" s="5" t="s">
        <v>56</v>
      </c>
      <c r="J2" s="5" t="s">
        <v>57</v>
      </c>
    </row>
    <row r="3" customFormat="false" ht="15" hidden="false" customHeight="false" outlineLevel="0" collapsed="false">
      <c r="A3" s="6" t="s">
        <v>20</v>
      </c>
      <c r="B3" s="6" t="s">
        <v>58</v>
      </c>
      <c r="C3" s="6" t="s">
        <v>53</v>
      </c>
      <c r="D3" s="6" t="s">
        <v>59</v>
      </c>
      <c r="E3" s="6" t="s">
        <v>60</v>
      </c>
      <c r="F3" s="6" t="s">
        <v>55</v>
      </c>
      <c r="G3" s="6" t="n">
        <v>0</v>
      </c>
      <c r="H3" s="6" t="n">
        <v>30</v>
      </c>
      <c r="I3" s="6" t="s">
        <v>61</v>
      </c>
      <c r="J3" s="6" t="s">
        <v>57</v>
      </c>
    </row>
    <row r="4" customFormat="false" ht="15" hidden="false" customHeight="false" outlineLevel="0" collapsed="false">
      <c r="A4" s="5" t="s">
        <v>20</v>
      </c>
      <c r="B4" s="5" t="s">
        <v>62</v>
      </c>
      <c r="C4" s="5" t="s">
        <v>53</v>
      </c>
      <c r="D4" s="5" t="s">
        <v>63</v>
      </c>
      <c r="E4" s="5"/>
      <c r="F4" s="5" t="s">
        <v>55</v>
      </c>
      <c r="G4" s="5" t="n">
        <v>0</v>
      </c>
      <c r="H4" s="5" t="n">
        <v>18</v>
      </c>
      <c r="I4" s="5" t="s">
        <v>64</v>
      </c>
      <c r="J4" s="5" t="s">
        <v>57</v>
      </c>
    </row>
    <row r="5" customFormat="false" ht="15" hidden="false" customHeight="false" outlineLevel="0" collapsed="false">
      <c r="A5" s="6" t="s">
        <v>20</v>
      </c>
      <c r="B5" s="6" t="s">
        <v>65</v>
      </c>
      <c r="C5" s="6" t="s">
        <v>53</v>
      </c>
      <c r="D5" s="6" t="s">
        <v>66</v>
      </c>
      <c r="E5" s="6"/>
      <c r="F5" s="6" t="s">
        <v>55</v>
      </c>
      <c r="G5" s="6" t="n">
        <v>0</v>
      </c>
      <c r="H5" s="6" t="n">
        <v>4</v>
      </c>
      <c r="I5" s="6" t="s">
        <v>67</v>
      </c>
      <c r="J5" s="6" t="s">
        <v>57</v>
      </c>
    </row>
    <row r="6" customFormat="false" ht="15" hidden="false" customHeight="false" outlineLevel="0" collapsed="false">
      <c r="A6" s="5" t="s">
        <v>20</v>
      </c>
      <c r="B6" s="5" t="s">
        <v>68</v>
      </c>
      <c r="C6" s="5" t="s">
        <v>53</v>
      </c>
      <c r="D6" s="5" t="s">
        <v>69</v>
      </c>
      <c r="E6" s="5" t="s">
        <v>70</v>
      </c>
      <c r="F6" s="5" t="s">
        <v>55</v>
      </c>
      <c r="G6" s="5" t="n">
        <v>0</v>
      </c>
      <c r="H6" s="5" t="n">
        <v>3</v>
      </c>
      <c r="I6" s="5" t="s">
        <v>71</v>
      </c>
      <c r="J6" s="5" t="s">
        <v>57</v>
      </c>
    </row>
    <row r="7" customFormat="false" ht="15" hidden="false" customHeight="false" outlineLevel="0" collapsed="false">
      <c r="A7" s="6" t="s">
        <v>20</v>
      </c>
      <c r="B7" s="6" t="s">
        <v>72</v>
      </c>
      <c r="C7" s="6" t="s">
        <v>53</v>
      </c>
      <c r="D7" s="6" t="s">
        <v>73</v>
      </c>
      <c r="E7" s="6" t="s">
        <v>74</v>
      </c>
      <c r="F7" s="6" t="s">
        <v>55</v>
      </c>
      <c r="G7" s="6" t="n">
        <v>0</v>
      </c>
      <c r="H7" s="6" t="n">
        <v>3</v>
      </c>
      <c r="I7" s="6" t="s">
        <v>75</v>
      </c>
      <c r="J7" s="6" t="s">
        <v>57</v>
      </c>
    </row>
    <row r="8" customFormat="false" ht="23.85" hidden="false" customHeight="false" outlineLevel="0" collapsed="false">
      <c r="A8" s="5" t="s">
        <v>20</v>
      </c>
      <c r="B8" s="5" t="s">
        <v>76</v>
      </c>
      <c r="C8" s="5" t="s">
        <v>53</v>
      </c>
      <c r="D8" s="5" t="s">
        <v>77</v>
      </c>
      <c r="E8" s="5" t="s">
        <v>78</v>
      </c>
      <c r="F8" s="5" t="s">
        <v>55</v>
      </c>
      <c r="G8" s="5" t="n">
        <v>0</v>
      </c>
      <c r="H8" s="5" t="n">
        <v>3</v>
      </c>
      <c r="I8" s="5" t="s">
        <v>79</v>
      </c>
      <c r="J8" s="5" t="s">
        <v>57</v>
      </c>
    </row>
    <row r="9" customFormat="false" ht="15" hidden="false" customHeight="false" outlineLevel="0" collapsed="false">
      <c r="A9" s="6" t="s">
        <v>25</v>
      </c>
      <c r="B9" s="6" t="s">
        <v>27</v>
      </c>
      <c r="C9" s="6" t="s">
        <v>53</v>
      </c>
      <c r="D9" s="6" t="s">
        <v>80</v>
      </c>
      <c r="E9" s="6" t="s">
        <v>16</v>
      </c>
      <c r="F9" s="6" t="s">
        <v>55</v>
      </c>
      <c r="G9" s="6" t="n">
        <v>0</v>
      </c>
      <c r="H9" s="6" t="n">
        <v>92555</v>
      </c>
      <c r="I9" s="6" t="s">
        <v>81</v>
      </c>
      <c r="J9" s="6" t="s">
        <v>57</v>
      </c>
    </row>
    <row r="10" customFormat="false" ht="15" hidden="false" customHeight="false" outlineLevel="0" collapsed="false">
      <c r="A10" s="5" t="s">
        <v>25</v>
      </c>
      <c r="B10" s="5" t="s">
        <v>22</v>
      </c>
      <c r="C10" s="5" t="s">
        <v>53</v>
      </c>
      <c r="D10" s="5" t="s">
        <v>82</v>
      </c>
      <c r="E10" s="5" t="s">
        <v>83</v>
      </c>
      <c r="F10" s="5" t="s">
        <v>55</v>
      </c>
      <c r="G10" s="5" t="n">
        <v>0</v>
      </c>
      <c r="H10" s="5" t="n">
        <v>30</v>
      </c>
      <c r="I10" s="5" t="s">
        <v>56</v>
      </c>
      <c r="J10" s="5" t="s">
        <v>57</v>
      </c>
    </row>
    <row r="11" customFormat="false" ht="15" hidden="false" customHeight="false" outlineLevel="0" collapsed="false">
      <c r="A11" s="6" t="s">
        <v>25</v>
      </c>
      <c r="B11" s="6" t="s">
        <v>84</v>
      </c>
      <c r="C11" s="6" t="s">
        <v>85</v>
      </c>
      <c r="D11" s="6" t="s">
        <v>86</v>
      </c>
      <c r="E11" s="6" t="s">
        <v>87</v>
      </c>
      <c r="F11" s="6" t="s">
        <v>55</v>
      </c>
      <c r="G11" s="6" t="n">
        <v>0</v>
      </c>
      <c r="H11" s="6" t="n">
        <v>8</v>
      </c>
      <c r="I11" s="6" t="s">
        <v>88</v>
      </c>
      <c r="J11" s="6" t="s">
        <v>57</v>
      </c>
    </row>
    <row r="12" customFormat="false" ht="23.85" hidden="false" customHeight="false" outlineLevel="0" collapsed="false">
      <c r="A12" s="5" t="s">
        <v>25</v>
      </c>
      <c r="B12" s="5" t="s">
        <v>89</v>
      </c>
      <c r="C12" s="5" t="s">
        <v>53</v>
      </c>
      <c r="D12" s="5" t="s">
        <v>90</v>
      </c>
      <c r="E12" s="5" t="s">
        <v>91</v>
      </c>
      <c r="F12" s="5" t="s">
        <v>55</v>
      </c>
      <c r="G12" s="5" t="n">
        <v>0</v>
      </c>
      <c r="H12" s="5" t="n">
        <v>8</v>
      </c>
      <c r="I12" s="5" t="s">
        <v>92</v>
      </c>
      <c r="J12" s="5" t="s">
        <v>57</v>
      </c>
    </row>
    <row r="13" customFormat="false" ht="15" hidden="false" customHeight="false" outlineLevel="0" collapsed="false">
      <c r="A13" s="6" t="s">
        <v>25</v>
      </c>
      <c r="B13" s="6" t="s">
        <v>93</v>
      </c>
      <c r="C13" s="6" t="s">
        <v>53</v>
      </c>
      <c r="D13" s="6" t="s">
        <v>94</v>
      </c>
      <c r="E13" s="6"/>
      <c r="F13" s="6" t="s">
        <v>55</v>
      </c>
      <c r="G13" s="6" t="n">
        <v>0</v>
      </c>
      <c r="H13" s="6" t="n">
        <v>20</v>
      </c>
      <c r="I13" s="6" t="s">
        <v>64</v>
      </c>
      <c r="J13" s="6" t="s">
        <v>57</v>
      </c>
    </row>
    <row r="14" customFormat="false" ht="15" hidden="false" customHeight="false" outlineLevel="0" collapsed="false">
      <c r="A14" s="5" t="s">
        <v>25</v>
      </c>
      <c r="B14" s="5" t="s">
        <v>95</v>
      </c>
      <c r="C14" s="5" t="s">
        <v>53</v>
      </c>
      <c r="D14" s="5" t="s">
        <v>96</v>
      </c>
      <c r="E14" s="5" t="s">
        <v>97</v>
      </c>
      <c r="F14" s="5" t="s">
        <v>55</v>
      </c>
      <c r="G14" s="5" t="n">
        <v>0</v>
      </c>
      <c r="H14" s="5" t="n">
        <v>10</v>
      </c>
      <c r="I14" s="5" t="s">
        <v>98</v>
      </c>
      <c r="J14" s="5" t="s">
        <v>57</v>
      </c>
    </row>
    <row r="15" customFormat="false" ht="15" hidden="false" customHeight="false" outlineLevel="0" collapsed="false">
      <c r="A15" s="6" t="s">
        <v>25</v>
      </c>
      <c r="B15" s="6" t="s">
        <v>99</v>
      </c>
      <c r="C15" s="6" t="s">
        <v>85</v>
      </c>
      <c r="D15" s="6" t="s">
        <v>100</v>
      </c>
      <c r="E15" s="6" t="s">
        <v>101</v>
      </c>
      <c r="F15" s="6" t="s">
        <v>55</v>
      </c>
      <c r="G15" s="6" t="n">
        <v>0</v>
      </c>
      <c r="H15" s="6" t="n">
        <v>2</v>
      </c>
      <c r="I15" s="6" t="s">
        <v>102</v>
      </c>
      <c r="J15" s="6" t="s">
        <v>57</v>
      </c>
    </row>
    <row r="16" customFormat="false" ht="15" hidden="false" customHeight="false" outlineLevel="0" collapsed="false">
      <c r="A16" s="5" t="s">
        <v>25</v>
      </c>
      <c r="B16" s="5" t="s">
        <v>103</v>
      </c>
      <c r="C16" s="5" t="s">
        <v>85</v>
      </c>
      <c r="D16" s="5" t="s">
        <v>104</v>
      </c>
      <c r="E16" s="5" t="s">
        <v>105</v>
      </c>
      <c r="F16" s="5" t="s">
        <v>55</v>
      </c>
      <c r="G16" s="5" t="n">
        <v>0</v>
      </c>
      <c r="H16" s="5" t="n">
        <v>2</v>
      </c>
      <c r="I16" s="5" t="s">
        <v>106</v>
      </c>
      <c r="J16" s="5" t="s">
        <v>57</v>
      </c>
    </row>
    <row r="17" customFormat="false" ht="15" hidden="false" customHeight="false" outlineLevel="0" collapsed="false">
      <c r="A17" s="6" t="s">
        <v>29</v>
      </c>
      <c r="B17" s="6" t="s">
        <v>31</v>
      </c>
      <c r="C17" s="6" t="s">
        <v>53</v>
      </c>
      <c r="D17" s="6" t="s">
        <v>107</v>
      </c>
      <c r="E17" s="6" t="s">
        <v>16</v>
      </c>
      <c r="F17" s="6" t="s">
        <v>55</v>
      </c>
      <c r="G17" s="6" t="n">
        <v>0</v>
      </c>
      <c r="H17" s="6" t="n">
        <v>23121</v>
      </c>
      <c r="I17" s="6" t="s">
        <v>108</v>
      </c>
      <c r="J17" s="6" t="s">
        <v>57</v>
      </c>
    </row>
    <row r="18" customFormat="false" ht="15" hidden="false" customHeight="false" outlineLevel="0" collapsed="false">
      <c r="A18" s="5" t="s">
        <v>29</v>
      </c>
      <c r="B18" s="5" t="s">
        <v>27</v>
      </c>
      <c r="C18" s="5" t="s">
        <v>53</v>
      </c>
      <c r="D18" s="5" t="s">
        <v>109</v>
      </c>
      <c r="E18" s="5" t="s">
        <v>110</v>
      </c>
      <c r="F18" s="5" t="s">
        <v>55</v>
      </c>
      <c r="G18" s="5" t="n">
        <v>0</v>
      </c>
      <c r="H18" s="5" t="n">
        <v>23121</v>
      </c>
      <c r="I18" s="5" t="s">
        <v>111</v>
      </c>
      <c r="J18" s="5" t="s">
        <v>57</v>
      </c>
    </row>
    <row r="19" customFormat="false" ht="15" hidden="false" customHeight="false" outlineLevel="0" collapsed="false">
      <c r="A19" s="6" t="s">
        <v>29</v>
      </c>
      <c r="B19" s="6" t="s">
        <v>89</v>
      </c>
      <c r="C19" s="6" t="s">
        <v>53</v>
      </c>
      <c r="D19" s="6" t="s">
        <v>112</v>
      </c>
      <c r="E19" s="6" t="s">
        <v>91</v>
      </c>
      <c r="F19" s="6" t="s">
        <v>55</v>
      </c>
      <c r="G19" s="6" t="n">
        <v>0</v>
      </c>
      <c r="H19" s="6" t="n">
        <v>8</v>
      </c>
      <c r="I19" s="6" t="s">
        <v>113</v>
      </c>
      <c r="J19" s="6" t="s">
        <v>57</v>
      </c>
    </row>
    <row r="20" customFormat="false" ht="15" hidden="false" customHeight="false" outlineLevel="0" collapsed="false">
      <c r="A20" s="5" t="s">
        <v>29</v>
      </c>
      <c r="B20" s="5" t="s">
        <v>22</v>
      </c>
      <c r="C20" s="5" t="s">
        <v>53</v>
      </c>
      <c r="D20" s="5" t="s">
        <v>114</v>
      </c>
      <c r="E20" s="5" t="s">
        <v>83</v>
      </c>
      <c r="F20" s="5" t="s">
        <v>55</v>
      </c>
      <c r="G20" s="5" t="n">
        <v>0</v>
      </c>
      <c r="H20" s="5" t="n">
        <v>30</v>
      </c>
      <c r="I20" s="5" t="s">
        <v>56</v>
      </c>
      <c r="J20" s="5" t="s">
        <v>57</v>
      </c>
    </row>
    <row r="21" customFormat="false" ht="15" hidden="false" customHeight="false" outlineLevel="0" collapsed="false">
      <c r="A21" s="6" t="s">
        <v>29</v>
      </c>
      <c r="B21" s="6" t="s">
        <v>115</v>
      </c>
      <c r="C21" s="6" t="s">
        <v>85</v>
      </c>
      <c r="D21" s="6" t="s">
        <v>116</v>
      </c>
      <c r="E21" s="6" t="s">
        <v>87</v>
      </c>
      <c r="F21" s="6" t="s">
        <v>55</v>
      </c>
      <c r="G21" s="6" t="n">
        <v>0</v>
      </c>
      <c r="H21" s="6" t="n">
        <v>8</v>
      </c>
      <c r="I21" s="6" t="s">
        <v>88</v>
      </c>
      <c r="J21" s="6" t="s">
        <v>57</v>
      </c>
    </row>
    <row r="22" customFormat="false" ht="15" hidden="false" customHeight="false" outlineLevel="0" collapsed="false">
      <c r="A22" s="5" t="s">
        <v>29</v>
      </c>
      <c r="B22" s="5" t="s">
        <v>117</v>
      </c>
      <c r="C22" s="5" t="s">
        <v>53</v>
      </c>
      <c r="D22" s="5" t="s">
        <v>118</v>
      </c>
      <c r="E22" s="5" t="s">
        <v>97</v>
      </c>
      <c r="F22" s="5" t="s">
        <v>55</v>
      </c>
      <c r="G22" s="5" t="n">
        <v>0</v>
      </c>
      <c r="H22" s="5" t="n">
        <v>10</v>
      </c>
      <c r="I22" s="5" t="s">
        <v>119</v>
      </c>
      <c r="J22" s="5" t="s">
        <v>57</v>
      </c>
    </row>
    <row r="23" customFormat="false" ht="15" hidden="false" customHeight="false" outlineLevel="0" collapsed="false">
      <c r="A23" s="6" t="s">
        <v>29</v>
      </c>
      <c r="B23" s="6" t="s">
        <v>120</v>
      </c>
      <c r="C23" s="6" t="s">
        <v>53</v>
      </c>
      <c r="D23" s="6" t="s">
        <v>121</v>
      </c>
      <c r="E23" s="6" t="s">
        <v>122</v>
      </c>
      <c r="F23" s="6" t="s">
        <v>55</v>
      </c>
      <c r="G23" s="6" t="n">
        <v>0</v>
      </c>
      <c r="H23" s="6" t="n">
        <v>2</v>
      </c>
      <c r="I23" s="6" t="s">
        <v>123</v>
      </c>
      <c r="J23" s="6" t="s">
        <v>57</v>
      </c>
    </row>
    <row r="24" customFormat="false" ht="15" hidden="false" customHeight="false" outlineLevel="0" collapsed="false">
      <c r="A24" s="5" t="s">
        <v>29</v>
      </c>
      <c r="B24" s="5" t="s">
        <v>124</v>
      </c>
      <c r="C24" s="5" t="s">
        <v>53</v>
      </c>
      <c r="D24" s="5" t="s">
        <v>125</v>
      </c>
      <c r="E24" s="5" t="s">
        <v>126</v>
      </c>
      <c r="F24" s="5" t="s">
        <v>55</v>
      </c>
      <c r="G24" s="5" t="n">
        <v>0</v>
      </c>
      <c r="H24" s="5" t="n">
        <v>5</v>
      </c>
      <c r="I24" s="5" t="s">
        <v>127</v>
      </c>
      <c r="J24" s="5" t="s">
        <v>57</v>
      </c>
    </row>
    <row r="25" customFormat="false" ht="15" hidden="false" customHeight="false" outlineLevel="0" collapsed="false">
      <c r="A25" s="6" t="s">
        <v>29</v>
      </c>
      <c r="B25" s="6" t="s">
        <v>128</v>
      </c>
      <c r="C25" s="6" t="s">
        <v>85</v>
      </c>
      <c r="D25" s="6" t="s">
        <v>129</v>
      </c>
      <c r="E25" s="6" t="s">
        <v>101</v>
      </c>
      <c r="F25" s="6" t="s">
        <v>55</v>
      </c>
      <c r="G25" s="6" t="n">
        <v>0</v>
      </c>
      <c r="H25" s="6" t="n">
        <v>2</v>
      </c>
      <c r="I25" s="6" t="s">
        <v>106</v>
      </c>
      <c r="J25" s="6" t="s">
        <v>57</v>
      </c>
    </row>
    <row r="26" customFormat="false" ht="15" hidden="false" customHeight="false" outlineLevel="0" collapsed="false">
      <c r="A26" s="5" t="s">
        <v>29</v>
      </c>
      <c r="B26" s="5" t="s">
        <v>130</v>
      </c>
      <c r="C26" s="5" t="s">
        <v>85</v>
      </c>
      <c r="D26" s="5" t="s">
        <v>131</v>
      </c>
      <c r="E26" s="5" t="s">
        <v>101</v>
      </c>
      <c r="F26" s="5" t="s">
        <v>55</v>
      </c>
      <c r="G26" s="5" t="n">
        <v>0</v>
      </c>
      <c r="H26" s="5" t="n">
        <v>2</v>
      </c>
      <c r="I26" s="5" t="s">
        <v>106</v>
      </c>
      <c r="J26" s="5" t="s">
        <v>57</v>
      </c>
    </row>
    <row r="27" customFormat="false" ht="15" hidden="false" customHeight="false" outlineLevel="0" collapsed="false">
      <c r="A27" s="6" t="s">
        <v>29</v>
      </c>
      <c r="B27" s="6" t="s">
        <v>132</v>
      </c>
      <c r="C27" s="6" t="s">
        <v>133</v>
      </c>
      <c r="D27" s="6" t="s">
        <v>134</v>
      </c>
      <c r="E27" s="6" t="s">
        <v>135</v>
      </c>
      <c r="F27" s="6" t="s">
        <v>55</v>
      </c>
      <c r="G27" s="6" t="n">
        <v>0</v>
      </c>
      <c r="H27" s="6" t="n">
        <v>199</v>
      </c>
      <c r="I27" s="6" t="s">
        <v>136</v>
      </c>
      <c r="J27" s="6" t="s">
        <v>57</v>
      </c>
    </row>
    <row r="28" customFormat="false" ht="15" hidden="false" customHeight="false" outlineLevel="0" collapsed="false">
      <c r="A28" s="5" t="s">
        <v>29</v>
      </c>
      <c r="B28" s="5" t="s">
        <v>137</v>
      </c>
      <c r="C28" s="5" t="s">
        <v>53</v>
      </c>
      <c r="D28" s="5" t="s">
        <v>138</v>
      </c>
      <c r="E28" s="5" t="s">
        <v>139</v>
      </c>
      <c r="F28" s="5" t="s">
        <v>55</v>
      </c>
      <c r="G28" s="5" t="n">
        <v>0</v>
      </c>
      <c r="H28" s="5" t="n">
        <v>3</v>
      </c>
      <c r="I28" s="5" t="s">
        <v>140</v>
      </c>
      <c r="J28" s="5" t="s">
        <v>57</v>
      </c>
    </row>
    <row r="29" customFormat="false" ht="23.85" hidden="false" customHeight="false" outlineLevel="0" collapsed="false">
      <c r="A29" s="6" t="s">
        <v>29</v>
      </c>
      <c r="B29" s="6" t="s">
        <v>141</v>
      </c>
      <c r="C29" s="6" t="s">
        <v>142</v>
      </c>
      <c r="D29" s="6" t="s">
        <v>143</v>
      </c>
      <c r="E29" s="6" t="s">
        <v>144</v>
      </c>
      <c r="F29" s="6" t="s">
        <v>145</v>
      </c>
      <c r="G29" s="6" t="n">
        <v>14423</v>
      </c>
      <c r="H29" s="6" t="n">
        <v>5</v>
      </c>
      <c r="I29" s="6" t="s">
        <v>146</v>
      </c>
      <c r="J29" s="6" t="s">
        <v>57</v>
      </c>
    </row>
    <row r="30" customFormat="false" ht="23.85" hidden="false" customHeight="false" outlineLevel="0" collapsed="false">
      <c r="A30" s="5" t="s">
        <v>29</v>
      </c>
      <c r="B30" s="5" t="s">
        <v>147</v>
      </c>
      <c r="C30" s="5" t="s">
        <v>142</v>
      </c>
      <c r="D30" s="5" t="s">
        <v>148</v>
      </c>
      <c r="E30" s="5" t="s">
        <v>149</v>
      </c>
      <c r="F30" s="5" t="s">
        <v>145</v>
      </c>
      <c r="G30" s="5" t="n">
        <v>17195</v>
      </c>
      <c r="H30" s="5" t="n">
        <v>8</v>
      </c>
      <c r="I30" s="5" t="s">
        <v>150</v>
      </c>
      <c r="J30" s="5" t="s">
        <v>57</v>
      </c>
    </row>
    <row r="31" customFormat="false" ht="23.85" hidden="false" customHeight="false" outlineLevel="0" collapsed="false">
      <c r="A31" s="6" t="s">
        <v>29</v>
      </c>
      <c r="B31" s="6" t="s">
        <v>151</v>
      </c>
      <c r="C31" s="6" t="s">
        <v>142</v>
      </c>
      <c r="D31" s="6" t="s">
        <v>152</v>
      </c>
      <c r="E31" s="6" t="s">
        <v>153</v>
      </c>
      <c r="F31" s="6" t="s">
        <v>145</v>
      </c>
      <c r="G31" s="6" t="n">
        <v>8497</v>
      </c>
      <c r="H31" s="6" t="n">
        <v>6</v>
      </c>
      <c r="I31" s="6" t="s">
        <v>102</v>
      </c>
      <c r="J31" s="6" t="s">
        <v>57</v>
      </c>
    </row>
    <row r="32" customFormat="false" ht="15" hidden="false" customHeight="false" outlineLevel="0" collapsed="false">
      <c r="A32" s="5" t="s">
        <v>29</v>
      </c>
      <c r="B32" s="5" t="s">
        <v>154</v>
      </c>
      <c r="C32" s="5" t="s">
        <v>133</v>
      </c>
      <c r="D32" s="5" t="s">
        <v>155</v>
      </c>
      <c r="E32" s="5" t="s">
        <v>156</v>
      </c>
      <c r="F32" s="5" t="s">
        <v>55</v>
      </c>
      <c r="G32" s="5" t="n">
        <v>0</v>
      </c>
      <c r="H32" s="5" t="n">
        <v>315</v>
      </c>
      <c r="I32" s="5" t="s">
        <v>157</v>
      </c>
      <c r="J32" s="5" t="s">
        <v>57</v>
      </c>
    </row>
  </sheetData>
  <autoFilter ref="A1:J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4" t="s">
        <v>158</v>
      </c>
      <c r="B1" s="4" t="s">
        <v>159</v>
      </c>
      <c r="C1" s="4" t="s">
        <v>160</v>
      </c>
      <c r="D1" s="4" t="s">
        <v>161</v>
      </c>
      <c r="E1" s="4" t="s">
        <v>162</v>
      </c>
      <c r="F1" s="4" t="s">
        <v>163</v>
      </c>
      <c r="G1" s="4" t="s">
        <v>164</v>
      </c>
      <c r="H1" s="4" t="s">
        <v>165</v>
      </c>
      <c r="I1" s="4" t="s">
        <v>166</v>
      </c>
    </row>
    <row r="2" customFormat="false" ht="15" hidden="false" customHeight="false" outlineLevel="0" collapsed="false">
      <c r="A2" s="5" t="s">
        <v>20</v>
      </c>
      <c r="B2" s="5" t="s">
        <v>22</v>
      </c>
      <c r="C2" s="5" t="s">
        <v>167</v>
      </c>
      <c r="D2" s="5" t="s">
        <v>168</v>
      </c>
      <c r="E2" s="5" t="s">
        <v>169</v>
      </c>
      <c r="F2" s="5" t="s">
        <v>170</v>
      </c>
      <c r="G2" s="5" t="s">
        <v>171</v>
      </c>
      <c r="H2" s="5" t="s">
        <v>172</v>
      </c>
      <c r="I2" s="5" t="s">
        <v>173</v>
      </c>
    </row>
    <row r="3" customFormat="false" ht="15" hidden="false" customHeight="false" outlineLevel="0" collapsed="false">
      <c r="A3" s="6" t="s">
        <v>20</v>
      </c>
      <c r="B3" s="6" t="s">
        <v>58</v>
      </c>
      <c r="C3" s="6" t="s">
        <v>174</v>
      </c>
      <c r="D3" s="6" t="s">
        <v>168</v>
      </c>
      <c r="E3" s="6" t="s">
        <v>169</v>
      </c>
      <c r="F3" s="6" t="s">
        <v>170</v>
      </c>
      <c r="G3" s="6" t="s">
        <v>175</v>
      </c>
      <c r="H3" s="6" t="s">
        <v>172</v>
      </c>
      <c r="I3" s="6" t="s">
        <v>173</v>
      </c>
    </row>
    <row r="4" customFormat="false" ht="15" hidden="false" customHeight="false" outlineLevel="0" collapsed="false">
      <c r="A4" s="5" t="s">
        <v>20</v>
      </c>
      <c r="B4" s="5" t="s">
        <v>62</v>
      </c>
      <c r="C4" s="5" t="s">
        <v>176</v>
      </c>
      <c r="D4" s="5" t="s">
        <v>177</v>
      </c>
      <c r="E4" s="5" t="s">
        <v>169</v>
      </c>
      <c r="F4" s="5" t="s">
        <v>178</v>
      </c>
      <c r="G4" s="5" t="s">
        <v>179</v>
      </c>
      <c r="H4" s="5" t="s">
        <v>180</v>
      </c>
      <c r="I4" s="5" t="s">
        <v>173</v>
      </c>
    </row>
    <row r="5" customFormat="false" ht="15" hidden="false" customHeight="false" outlineLevel="0" collapsed="false">
      <c r="A5" s="6" t="s">
        <v>20</v>
      </c>
      <c r="B5" s="6" t="s">
        <v>65</v>
      </c>
      <c r="C5" s="6" t="s">
        <v>181</v>
      </c>
      <c r="D5" s="6" t="s">
        <v>168</v>
      </c>
      <c r="E5" s="6" t="s">
        <v>169</v>
      </c>
      <c r="F5" s="6" t="s">
        <v>170</v>
      </c>
      <c r="G5" s="6" t="s">
        <v>175</v>
      </c>
      <c r="H5" s="6" t="s">
        <v>172</v>
      </c>
      <c r="I5" s="6" t="s">
        <v>173</v>
      </c>
    </row>
    <row r="6" customFormat="false" ht="15" hidden="false" customHeight="false" outlineLevel="0" collapsed="false">
      <c r="A6" s="5" t="s">
        <v>20</v>
      </c>
      <c r="B6" s="5" t="s">
        <v>68</v>
      </c>
      <c r="C6" s="5" t="s">
        <v>182</v>
      </c>
      <c r="D6" s="5" t="s">
        <v>168</v>
      </c>
      <c r="E6" s="5" t="s">
        <v>169</v>
      </c>
      <c r="F6" s="5" t="s">
        <v>170</v>
      </c>
      <c r="G6" s="5" t="s">
        <v>175</v>
      </c>
      <c r="H6" s="5" t="s">
        <v>172</v>
      </c>
      <c r="I6" s="5" t="s">
        <v>173</v>
      </c>
    </row>
    <row r="7" customFormat="false" ht="15" hidden="false" customHeight="false" outlineLevel="0" collapsed="false">
      <c r="A7" s="6" t="s">
        <v>20</v>
      </c>
      <c r="B7" s="6" t="s">
        <v>72</v>
      </c>
      <c r="C7" s="6" t="s">
        <v>183</v>
      </c>
      <c r="D7" s="6" t="s">
        <v>168</v>
      </c>
      <c r="E7" s="6" t="s">
        <v>169</v>
      </c>
      <c r="F7" s="6" t="s">
        <v>170</v>
      </c>
      <c r="G7" s="6" t="s">
        <v>175</v>
      </c>
      <c r="H7" s="6" t="s">
        <v>172</v>
      </c>
      <c r="I7" s="6" t="s">
        <v>173</v>
      </c>
    </row>
    <row r="8" customFormat="false" ht="15" hidden="false" customHeight="false" outlineLevel="0" collapsed="false">
      <c r="A8" s="5" t="s">
        <v>20</v>
      </c>
      <c r="B8" s="5" t="s">
        <v>76</v>
      </c>
      <c r="C8" s="5" t="s">
        <v>184</v>
      </c>
      <c r="D8" s="5" t="s">
        <v>168</v>
      </c>
      <c r="E8" s="5" t="s">
        <v>169</v>
      </c>
      <c r="F8" s="5" t="s">
        <v>170</v>
      </c>
      <c r="G8" s="5" t="s">
        <v>175</v>
      </c>
      <c r="H8" s="5" t="s">
        <v>172</v>
      </c>
      <c r="I8" s="5" t="s">
        <v>173</v>
      </c>
    </row>
    <row r="9" customFormat="false" ht="15" hidden="false" customHeight="false" outlineLevel="0" collapsed="false">
      <c r="A9" s="6" t="s">
        <v>25</v>
      </c>
      <c r="B9" s="6" t="s">
        <v>27</v>
      </c>
      <c r="C9" s="6" t="s">
        <v>185</v>
      </c>
      <c r="D9" s="6" t="s">
        <v>168</v>
      </c>
      <c r="E9" s="6" t="s">
        <v>169</v>
      </c>
      <c r="F9" s="6" t="s">
        <v>170</v>
      </c>
      <c r="G9" s="6" t="s">
        <v>171</v>
      </c>
      <c r="H9" s="6" t="s">
        <v>172</v>
      </c>
      <c r="I9" s="6" t="s">
        <v>173</v>
      </c>
    </row>
    <row r="10" customFormat="false" ht="15" hidden="false" customHeight="false" outlineLevel="0" collapsed="false">
      <c r="A10" s="5" t="s">
        <v>25</v>
      </c>
      <c r="B10" s="5" t="s">
        <v>22</v>
      </c>
      <c r="C10" s="5" t="s">
        <v>167</v>
      </c>
      <c r="D10" s="5" t="s">
        <v>168</v>
      </c>
      <c r="E10" s="5" t="s">
        <v>169</v>
      </c>
      <c r="F10" s="5" t="s">
        <v>170</v>
      </c>
      <c r="G10" s="5" t="s">
        <v>171</v>
      </c>
      <c r="H10" s="5" t="s">
        <v>172</v>
      </c>
      <c r="I10" s="5" t="s">
        <v>173</v>
      </c>
    </row>
    <row r="11" customFormat="false" ht="15" hidden="false" customHeight="false" outlineLevel="0" collapsed="false">
      <c r="A11" s="6" t="s">
        <v>25</v>
      </c>
      <c r="B11" s="6" t="s">
        <v>84</v>
      </c>
      <c r="C11" s="6" t="s">
        <v>186</v>
      </c>
      <c r="D11" s="6" t="s">
        <v>187</v>
      </c>
      <c r="E11" s="6" t="s">
        <v>169</v>
      </c>
      <c r="F11" s="6" t="s">
        <v>188</v>
      </c>
      <c r="G11" s="6" t="s">
        <v>87</v>
      </c>
      <c r="H11" s="6" t="s">
        <v>189</v>
      </c>
      <c r="I11" s="6" t="s">
        <v>173</v>
      </c>
    </row>
    <row r="12" customFormat="false" ht="15" hidden="false" customHeight="false" outlineLevel="0" collapsed="false">
      <c r="A12" s="5" t="s">
        <v>25</v>
      </c>
      <c r="B12" s="5" t="s">
        <v>89</v>
      </c>
      <c r="C12" s="5" t="s">
        <v>190</v>
      </c>
      <c r="D12" s="5" t="s">
        <v>168</v>
      </c>
      <c r="E12" s="5" t="s">
        <v>169</v>
      </c>
      <c r="F12" s="5" t="s">
        <v>170</v>
      </c>
      <c r="G12" s="5" t="s">
        <v>191</v>
      </c>
      <c r="H12" s="5" t="s">
        <v>172</v>
      </c>
      <c r="I12" s="5" t="s">
        <v>173</v>
      </c>
    </row>
    <row r="13" customFormat="false" ht="15" hidden="false" customHeight="false" outlineLevel="0" collapsed="false">
      <c r="A13" s="6" t="s">
        <v>25</v>
      </c>
      <c r="B13" s="6" t="s">
        <v>93</v>
      </c>
      <c r="C13" s="6" t="s">
        <v>192</v>
      </c>
      <c r="D13" s="6" t="s">
        <v>177</v>
      </c>
      <c r="E13" s="6" t="s">
        <v>169</v>
      </c>
      <c r="F13" s="6" t="s">
        <v>178</v>
      </c>
      <c r="G13" s="6" t="s">
        <v>193</v>
      </c>
      <c r="H13" s="6" t="s">
        <v>180</v>
      </c>
      <c r="I13" s="6" t="s">
        <v>173</v>
      </c>
    </row>
    <row r="14" customFormat="false" ht="15" hidden="false" customHeight="false" outlineLevel="0" collapsed="false">
      <c r="A14" s="5" t="s">
        <v>25</v>
      </c>
      <c r="B14" s="5" t="s">
        <v>95</v>
      </c>
      <c r="C14" s="5" t="s">
        <v>194</v>
      </c>
      <c r="D14" s="5" t="s">
        <v>168</v>
      </c>
      <c r="E14" s="5" t="s">
        <v>169</v>
      </c>
      <c r="F14" s="5" t="s">
        <v>170</v>
      </c>
      <c r="G14" s="5" t="s">
        <v>175</v>
      </c>
      <c r="H14" s="5" t="s">
        <v>172</v>
      </c>
      <c r="I14" s="5" t="s">
        <v>173</v>
      </c>
    </row>
    <row r="15" customFormat="false" ht="15" hidden="false" customHeight="false" outlineLevel="0" collapsed="false">
      <c r="A15" s="6" t="s">
        <v>25</v>
      </c>
      <c r="B15" s="6" t="s">
        <v>99</v>
      </c>
      <c r="C15" s="6" t="s">
        <v>195</v>
      </c>
      <c r="D15" s="6" t="s">
        <v>187</v>
      </c>
      <c r="E15" s="6" t="s">
        <v>196</v>
      </c>
      <c r="F15" s="6" t="s">
        <v>197</v>
      </c>
      <c r="G15" s="6" t="s">
        <v>101</v>
      </c>
      <c r="H15" s="6" t="s">
        <v>172</v>
      </c>
      <c r="I15" s="6" t="s">
        <v>173</v>
      </c>
    </row>
    <row r="16" customFormat="false" ht="15" hidden="false" customHeight="false" outlineLevel="0" collapsed="false">
      <c r="A16" s="5" t="s">
        <v>25</v>
      </c>
      <c r="B16" s="5" t="s">
        <v>103</v>
      </c>
      <c r="C16" s="5" t="s">
        <v>198</v>
      </c>
      <c r="D16" s="5" t="s">
        <v>187</v>
      </c>
      <c r="E16" s="5" t="s">
        <v>196</v>
      </c>
      <c r="F16" s="5" t="s">
        <v>199</v>
      </c>
      <c r="G16" s="5" t="s">
        <v>200</v>
      </c>
      <c r="H16" s="5" t="s">
        <v>172</v>
      </c>
      <c r="I16" s="5" t="s">
        <v>173</v>
      </c>
    </row>
    <row r="17" customFormat="false" ht="15" hidden="false" customHeight="false" outlineLevel="0" collapsed="false">
      <c r="A17" s="6" t="s">
        <v>29</v>
      </c>
      <c r="B17" s="6" t="s">
        <v>31</v>
      </c>
      <c r="C17" s="6" t="s">
        <v>201</v>
      </c>
      <c r="D17" s="6" t="s">
        <v>168</v>
      </c>
      <c r="E17" s="6" t="s">
        <v>169</v>
      </c>
      <c r="F17" s="6" t="s">
        <v>170</v>
      </c>
      <c r="G17" s="6" t="s">
        <v>171</v>
      </c>
      <c r="H17" s="6" t="s">
        <v>172</v>
      </c>
      <c r="I17" s="6" t="s">
        <v>173</v>
      </c>
    </row>
    <row r="18" customFormat="false" ht="15" hidden="false" customHeight="false" outlineLevel="0" collapsed="false">
      <c r="A18" s="5" t="s">
        <v>29</v>
      </c>
      <c r="B18" s="5" t="s">
        <v>27</v>
      </c>
      <c r="C18" s="5" t="s">
        <v>185</v>
      </c>
      <c r="D18" s="5" t="s">
        <v>168</v>
      </c>
      <c r="E18" s="5" t="s">
        <v>169</v>
      </c>
      <c r="F18" s="5" t="s">
        <v>170</v>
      </c>
      <c r="G18" s="5" t="s">
        <v>202</v>
      </c>
      <c r="H18" s="5" t="s">
        <v>172</v>
      </c>
      <c r="I18" s="5" t="s">
        <v>173</v>
      </c>
    </row>
    <row r="19" customFormat="false" ht="15" hidden="false" customHeight="false" outlineLevel="0" collapsed="false">
      <c r="A19" s="6" t="s">
        <v>29</v>
      </c>
      <c r="B19" s="6" t="s">
        <v>89</v>
      </c>
      <c r="C19" s="6" t="s">
        <v>190</v>
      </c>
      <c r="D19" s="6" t="s">
        <v>168</v>
      </c>
      <c r="E19" s="6" t="s">
        <v>169</v>
      </c>
      <c r="F19" s="6" t="s">
        <v>170</v>
      </c>
      <c r="G19" s="6" t="s">
        <v>191</v>
      </c>
      <c r="H19" s="6" t="s">
        <v>172</v>
      </c>
      <c r="I19" s="6" t="s">
        <v>173</v>
      </c>
    </row>
    <row r="20" customFormat="false" ht="15" hidden="false" customHeight="false" outlineLevel="0" collapsed="false">
      <c r="A20" s="5" t="s">
        <v>29</v>
      </c>
      <c r="B20" s="5" t="s">
        <v>22</v>
      </c>
      <c r="C20" s="5" t="s">
        <v>167</v>
      </c>
      <c r="D20" s="5" t="s">
        <v>168</v>
      </c>
      <c r="E20" s="5" t="s">
        <v>169</v>
      </c>
      <c r="F20" s="5" t="s">
        <v>170</v>
      </c>
      <c r="G20" s="5" t="s">
        <v>171</v>
      </c>
      <c r="H20" s="5" t="s">
        <v>172</v>
      </c>
      <c r="I20" s="5" t="s">
        <v>173</v>
      </c>
    </row>
    <row r="21" customFormat="false" ht="15" hidden="false" customHeight="false" outlineLevel="0" collapsed="false">
      <c r="A21" s="6" t="s">
        <v>29</v>
      </c>
      <c r="B21" s="6" t="s">
        <v>115</v>
      </c>
      <c r="C21" s="6" t="s">
        <v>203</v>
      </c>
      <c r="D21" s="6" t="s">
        <v>187</v>
      </c>
      <c r="E21" s="6" t="s">
        <v>169</v>
      </c>
      <c r="F21" s="6" t="s">
        <v>188</v>
      </c>
      <c r="G21" s="6" t="s">
        <v>204</v>
      </c>
      <c r="H21" s="6" t="s">
        <v>172</v>
      </c>
      <c r="I21" s="6" t="s">
        <v>173</v>
      </c>
    </row>
    <row r="22" customFormat="false" ht="15" hidden="false" customHeight="false" outlineLevel="0" collapsed="false">
      <c r="A22" s="5" t="s">
        <v>29</v>
      </c>
      <c r="B22" s="5" t="s">
        <v>117</v>
      </c>
      <c r="C22" s="5" t="s">
        <v>205</v>
      </c>
      <c r="D22" s="5" t="s">
        <v>168</v>
      </c>
      <c r="E22" s="5" t="s">
        <v>169</v>
      </c>
      <c r="F22" s="5" t="s">
        <v>170</v>
      </c>
      <c r="G22" s="5" t="s">
        <v>175</v>
      </c>
      <c r="H22" s="5" t="s">
        <v>172</v>
      </c>
      <c r="I22" s="5" t="s">
        <v>173</v>
      </c>
    </row>
    <row r="23" customFormat="false" ht="15" hidden="false" customHeight="false" outlineLevel="0" collapsed="false">
      <c r="A23" s="6" t="s">
        <v>29</v>
      </c>
      <c r="B23" s="6" t="s">
        <v>120</v>
      </c>
      <c r="C23" s="6" t="s">
        <v>206</v>
      </c>
      <c r="D23" s="6" t="s">
        <v>168</v>
      </c>
      <c r="E23" s="6" t="s">
        <v>169</v>
      </c>
      <c r="F23" s="6" t="s">
        <v>170</v>
      </c>
      <c r="G23" s="6" t="s">
        <v>175</v>
      </c>
      <c r="H23" s="6" t="s">
        <v>172</v>
      </c>
      <c r="I23" s="6" t="s">
        <v>173</v>
      </c>
    </row>
    <row r="24" customFormat="false" ht="15" hidden="false" customHeight="false" outlineLevel="0" collapsed="false">
      <c r="A24" s="5" t="s">
        <v>29</v>
      </c>
      <c r="B24" s="5" t="s">
        <v>124</v>
      </c>
      <c r="C24" s="5" t="s">
        <v>207</v>
      </c>
      <c r="D24" s="5" t="s">
        <v>168</v>
      </c>
      <c r="E24" s="5" t="s">
        <v>169</v>
      </c>
      <c r="F24" s="5" t="s">
        <v>170</v>
      </c>
      <c r="G24" s="5" t="s">
        <v>175</v>
      </c>
      <c r="H24" s="5" t="s">
        <v>172</v>
      </c>
      <c r="I24" s="5" t="s">
        <v>173</v>
      </c>
    </row>
    <row r="25" customFormat="false" ht="15" hidden="false" customHeight="false" outlineLevel="0" collapsed="false">
      <c r="A25" s="6" t="s">
        <v>29</v>
      </c>
      <c r="B25" s="6" t="s">
        <v>128</v>
      </c>
      <c r="C25" s="6" t="s">
        <v>208</v>
      </c>
      <c r="D25" s="6" t="s">
        <v>187</v>
      </c>
      <c r="E25" s="6" t="s">
        <v>196</v>
      </c>
      <c r="F25" s="6" t="s">
        <v>170</v>
      </c>
      <c r="G25" s="6" t="s">
        <v>175</v>
      </c>
      <c r="H25" s="6" t="s">
        <v>172</v>
      </c>
      <c r="I25" s="6" t="s">
        <v>173</v>
      </c>
    </row>
    <row r="26" customFormat="false" ht="15" hidden="false" customHeight="false" outlineLevel="0" collapsed="false">
      <c r="A26" s="5" t="s">
        <v>29</v>
      </c>
      <c r="B26" s="5" t="s">
        <v>130</v>
      </c>
      <c r="C26" s="5" t="s">
        <v>209</v>
      </c>
      <c r="D26" s="5" t="s">
        <v>187</v>
      </c>
      <c r="E26" s="5" t="s">
        <v>196</v>
      </c>
      <c r="F26" s="5" t="s">
        <v>170</v>
      </c>
      <c r="G26" s="5" t="s">
        <v>175</v>
      </c>
      <c r="H26" s="5" t="s">
        <v>172</v>
      </c>
      <c r="I26" s="5" t="s">
        <v>173</v>
      </c>
    </row>
    <row r="27" customFormat="false" ht="15" hidden="false" customHeight="false" outlineLevel="0" collapsed="false">
      <c r="A27" s="6" t="s">
        <v>29</v>
      </c>
      <c r="B27" s="6" t="s">
        <v>132</v>
      </c>
      <c r="C27" s="6" t="s">
        <v>210</v>
      </c>
      <c r="D27" s="6" t="s">
        <v>211</v>
      </c>
      <c r="E27" s="6" t="s">
        <v>196</v>
      </c>
      <c r="F27" s="6" t="s">
        <v>212</v>
      </c>
      <c r="G27" s="6" t="s">
        <v>135</v>
      </c>
      <c r="H27" s="6" t="s">
        <v>172</v>
      </c>
      <c r="I27" s="6" t="s">
        <v>173</v>
      </c>
    </row>
    <row r="28" customFormat="false" ht="15" hidden="false" customHeight="false" outlineLevel="0" collapsed="false">
      <c r="A28" s="5" t="s">
        <v>29</v>
      </c>
      <c r="B28" s="5" t="s">
        <v>137</v>
      </c>
      <c r="C28" s="5" t="s">
        <v>213</v>
      </c>
      <c r="D28" s="5" t="s">
        <v>168</v>
      </c>
      <c r="E28" s="5" t="s">
        <v>169</v>
      </c>
      <c r="F28" s="5" t="s">
        <v>214</v>
      </c>
      <c r="G28" s="5" t="s">
        <v>215</v>
      </c>
      <c r="H28" s="5" t="s">
        <v>172</v>
      </c>
      <c r="I28" s="5" t="s">
        <v>173</v>
      </c>
    </row>
    <row r="29" customFormat="false" ht="15" hidden="false" customHeight="false" outlineLevel="0" collapsed="false">
      <c r="A29" s="6" t="s">
        <v>29</v>
      </c>
      <c r="B29" s="6" t="s">
        <v>141</v>
      </c>
      <c r="C29" s="6" t="s">
        <v>216</v>
      </c>
      <c r="D29" s="6" t="s">
        <v>187</v>
      </c>
      <c r="E29" s="6" t="s">
        <v>169</v>
      </c>
      <c r="F29" s="6" t="s">
        <v>217</v>
      </c>
      <c r="G29" s="6" t="s">
        <v>218</v>
      </c>
      <c r="H29" s="6" t="s">
        <v>219</v>
      </c>
      <c r="I29" s="6" t="s">
        <v>173</v>
      </c>
    </row>
    <row r="30" customFormat="false" ht="15" hidden="false" customHeight="false" outlineLevel="0" collapsed="false">
      <c r="A30" s="5" t="s">
        <v>29</v>
      </c>
      <c r="B30" s="5" t="s">
        <v>147</v>
      </c>
      <c r="C30" s="5" t="s">
        <v>220</v>
      </c>
      <c r="D30" s="5" t="s">
        <v>187</v>
      </c>
      <c r="E30" s="5" t="s">
        <v>169</v>
      </c>
      <c r="F30" s="5" t="s">
        <v>217</v>
      </c>
      <c r="G30" s="5" t="s">
        <v>221</v>
      </c>
      <c r="H30" s="5" t="s">
        <v>222</v>
      </c>
      <c r="I30" s="5" t="s">
        <v>173</v>
      </c>
    </row>
    <row r="31" customFormat="false" ht="15" hidden="false" customHeight="false" outlineLevel="0" collapsed="false">
      <c r="A31" s="6" t="s">
        <v>29</v>
      </c>
      <c r="B31" s="6" t="s">
        <v>151</v>
      </c>
      <c r="C31" s="6" t="s">
        <v>223</v>
      </c>
      <c r="D31" s="6" t="s">
        <v>187</v>
      </c>
      <c r="E31" s="6" t="s">
        <v>169</v>
      </c>
      <c r="F31" s="6" t="s">
        <v>224</v>
      </c>
      <c r="G31" s="6" t="s">
        <v>225</v>
      </c>
      <c r="H31" s="6" t="s">
        <v>226</v>
      </c>
      <c r="I31" s="6" t="s">
        <v>173</v>
      </c>
    </row>
    <row r="32" customFormat="false" ht="15" hidden="false" customHeight="false" outlineLevel="0" collapsed="false">
      <c r="A32" s="5" t="s">
        <v>29</v>
      </c>
      <c r="B32" s="5" t="s">
        <v>154</v>
      </c>
      <c r="C32" s="5" t="s">
        <v>227</v>
      </c>
      <c r="D32" s="5" t="s">
        <v>211</v>
      </c>
      <c r="E32" s="5" t="s">
        <v>196</v>
      </c>
      <c r="F32" s="5" t="s">
        <v>212</v>
      </c>
      <c r="G32" s="5" t="s">
        <v>156</v>
      </c>
      <c r="H32" s="5" t="s">
        <v>172</v>
      </c>
      <c r="I32" s="5" t="s">
        <v>173</v>
      </c>
    </row>
    <row r="33" customFormat="false" ht="15" hidden="false" customHeight="false" outlineLevel="0" collapsed="false">
      <c r="A33" s="6" t="s">
        <v>228</v>
      </c>
      <c r="B33" s="6" t="s">
        <v>23</v>
      </c>
      <c r="C33" s="6" t="s">
        <v>229</v>
      </c>
      <c r="D33" s="6" t="s">
        <v>187</v>
      </c>
      <c r="E33" s="6" t="s">
        <v>196</v>
      </c>
      <c r="F33" s="6" t="s">
        <v>230</v>
      </c>
      <c r="G33" s="6" t="s">
        <v>231</v>
      </c>
      <c r="H33" s="6" t="s">
        <v>189</v>
      </c>
      <c r="I33" s="6" t="s">
        <v>173</v>
      </c>
    </row>
    <row r="34" customFormat="false" ht="15" hidden="false" customHeight="false" outlineLevel="0" collapsed="false">
      <c r="A34" s="5" t="s">
        <v>228</v>
      </c>
      <c r="B34" s="5" t="s">
        <v>23</v>
      </c>
      <c r="C34" s="5" t="s">
        <v>232</v>
      </c>
      <c r="D34" s="5" t="s">
        <v>187</v>
      </c>
      <c r="E34" s="5" t="s">
        <v>196</v>
      </c>
      <c r="F34" s="5" t="s">
        <v>233</v>
      </c>
      <c r="G34" s="5" t="s">
        <v>231</v>
      </c>
      <c r="H34" s="5" t="s">
        <v>189</v>
      </c>
      <c r="I34" s="5" t="s">
        <v>173</v>
      </c>
    </row>
    <row r="35" customFormat="false" ht="23.85" hidden="false" customHeight="false" outlineLevel="0" collapsed="false">
      <c r="A35" s="6" t="s">
        <v>228</v>
      </c>
      <c r="B35" s="6" t="s">
        <v>23</v>
      </c>
      <c r="C35" s="6" t="s">
        <v>234</v>
      </c>
      <c r="D35" s="6" t="s">
        <v>187</v>
      </c>
      <c r="E35" s="6" t="s">
        <v>196</v>
      </c>
      <c r="F35" s="6" t="s">
        <v>235</v>
      </c>
      <c r="G35" s="6" t="s">
        <v>236</v>
      </c>
      <c r="H35" s="6" t="s">
        <v>189</v>
      </c>
      <c r="I35" s="6" t="s">
        <v>173</v>
      </c>
    </row>
    <row r="36" customFormat="false" ht="23.85" hidden="false" customHeight="false" outlineLevel="0" collapsed="false">
      <c r="A36" s="5" t="s">
        <v>228</v>
      </c>
      <c r="B36" s="5" t="s">
        <v>23</v>
      </c>
      <c r="C36" s="5" t="s">
        <v>237</v>
      </c>
      <c r="D36" s="5" t="s">
        <v>238</v>
      </c>
      <c r="E36" s="5" t="s">
        <v>169</v>
      </c>
      <c r="F36" s="5" t="s">
        <v>239</v>
      </c>
      <c r="G36" s="5" t="s">
        <v>240</v>
      </c>
      <c r="H36" s="5" t="s">
        <v>189</v>
      </c>
      <c r="I36" s="5" t="s">
        <v>173</v>
      </c>
    </row>
    <row r="37" customFormat="false" ht="15" hidden="false" customHeight="false" outlineLevel="0" collapsed="false">
      <c r="A37" s="6" t="s">
        <v>228</v>
      </c>
      <c r="B37" s="6" t="s">
        <v>23</v>
      </c>
      <c r="C37" s="6" t="s">
        <v>241</v>
      </c>
      <c r="D37" s="6" t="s">
        <v>242</v>
      </c>
      <c r="E37" s="6" t="s">
        <v>243</v>
      </c>
      <c r="F37" s="6" t="s">
        <v>244</v>
      </c>
      <c r="G37" s="6" t="s">
        <v>245</v>
      </c>
      <c r="H37" s="6" t="s">
        <v>189</v>
      </c>
      <c r="I37" s="6" t="s">
        <v>173</v>
      </c>
    </row>
    <row r="38" customFormat="false" ht="15" hidden="false" customHeight="false" outlineLevel="0" collapsed="false">
      <c r="A38" s="5" t="s">
        <v>228</v>
      </c>
      <c r="B38" s="5" t="s">
        <v>23</v>
      </c>
      <c r="C38" s="5" t="s">
        <v>246</v>
      </c>
      <c r="D38" s="5" t="s">
        <v>187</v>
      </c>
      <c r="E38" s="5" t="s">
        <v>196</v>
      </c>
      <c r="F38" s="5" t="s">
        <v>247</v>
      </c>
      <c r="G38" s="5" t="s">
        <v>101</v>
      </c>
      <c r="H38" s="5" t="s">
        <v>189</v>
      </c>
      <c r="I38" s="5" t="s">
        <v>173</v>
      </c>
    </row>
    <row r="39" customFormat="false" ht="15" hidden="false" customHeight="false" outlineLevel="0" collapsed="false">
      <c r="A39" s="6" t="s">
        <v>228</v>
      </c>
      <c r="B39" s="6" t="s">
        <v>23</v>
      </c>
      <c r="C39" s="6" t="s">
        <v>248</v>
      </c>
      <c r="D39" s="6" t="s">
        <v>187</v>
      </c>
      <c r="E39" s="6" t="s">
        <v>196</v>
      </c>
      <c r="F39" s="6" t="s">
        <v>249</v>
      </c>
      <c r="G39" s="6" t="s">
        <v>101</v>
      </c>
      <c r="H39" s="6" t="s">
        <v>189</v>
      </c>
      <c r="I39" s="6" t="s">
        <v>173</v>
      </c>
    </row>
    <row r="40" customFormat="false" ht="15" hidden="false" customHeight="false" outlineLevel="0" collapsed="false">
      <c r="A40" s="5" t="s">
        <v>228</v>
      </c>
      <c r="B40" s="5" t="s">
        <v>23</v>
      </c>
      <c r="C40" s="5" t="s">
        <v>250</v>
      </c>
      <c r="D40" s="5" t="s">
        <v>187</v>
      </c>
      <c r="E40" s="5" t="s">
        <v>196</v>
      </c>
      <c r="F40" s="5" t="s">
        <v>251</v>
      </c>
      <c r="G40" s="5" t="s">
        <v>101</v>
      </c>
      <c r="H40" s="5" t="s">
        <v>189</v>
      </c>
      <c r="I40" s="5" t="s">
        <v>173</v>
      </c>
    </row>
    <row r="41" customFormat="false" ht="23.85" hidden="false" customHeight="false" outlineLevel="0" collapsed="false">
      <c r="A41" s="6" t="s">
        <v>228</v>
      </c>
      <c r="B41" s="6" t="s">
        <v>23</v>
      </c>
      <c r="C41" s="6" t="s">
        <v>252</v>
      </c>
      <c r="D41" s="6" t="s">
        <v>187</v>
      </c>
      <c r="E41" s="6" t="s">
        <v>196</v>
      </c>
      <c r="F41" s="6" t="s">
        <v>253</v>
      </c>
      <c r="G41" s="6" t="s">
        <v>101</v>
      </c>
      <c r="H41" s="6" t="s">
        <v>189</v>
      </c>
      <c r="I41" s="6" t="s">
        <v>173</v>
      </c>
    </row>
    <row r="42" customFormat="false" ht="15" hidden="false" customHeight="false" outlineLevel="0" collapsed="false">
      <c r="A42" s="5" t="s">
        <v>228</v>
      </c>
      <c r="B42" s="5" t="s">
        <v>23</v>
      </c>
      <c r="C42" s="5" t="s">
        <v>254</v>
      </c>
      <c r="D42" s="5" t="s">
        <v>187</v>
      </c>
      <c r="E42" s="5" t="s">
        <v>196</v>
      </c>
      <c r="F42" s="5" t="s">
        <v>255</v>
      </c>
      <c r="G42" s="5" t="s">
        <v>101</v>
      </c>
      <c r="H42" s="5" t="s">
        <v>189</v>
      </c>
      <c r="I42" s="5" t="s">
        <v>173</v>
      </c>
    </row>
    <row r="43" customFormat="false" ht="15" hidden="false" customHeight="false" outlineLevel="0" collapsed="false">
      <c r="A43" s="6" t="s">
        <v>228</v>
      </c>
      <c r="B43" s="6" t="s">
        <v>23</v>
      </c>
      <c r="C43" s="6" t="s">
        <v>256</v>
      </c>
      <c r="D43" s="6" t="s">
        <v>211</v>
      </c>
      <c r="E43" s="6" t="s">
        <v>196</v>
      </c>
      <c r="F43" s="6" t="s">
        <v>257</v>
      </c>
      <c r="G43" s="6" t="s">
        <v>258</v>
      </c>
      <c r="H43" s="6" t="s">
        <v>189</v>
      </c>
      <c r="I43" s="6" t="s">
        <v>173</v>
      </c>
    </row>
  </sheetData>
  <autoFilter ref="A1:I43"/>
  <dataValidations count="1">
    <dataValidation allowBlank="false" errorStyle="stop" operator="between" showDropDown="false" showErrorMessage="false" showInputMessage="false" sqref="I2:I43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30" hidden="false" customHeight="true" outlineLevel="0" collapsed="false">
      <c r="A1" s="4" t="s">
        <v>259</v>
      </c>
      <c r="B1" s="4" t="s">
        <v>260</v>
      </c>
      <c r="C1" s="4" t="s">
        <v>14</v>
      </c>
      <c r="D1" s="4" t="s">
        <v>261</v>
      </c>
      <c r="E1" s="4" t="s">
        <v>262</v>
      </c>
      <c r="F1" s="4" t="s">
        <v>263</v>
      </c>
      <c r="G1" s="4" t="s">
        <v>264</v>
      </c>
    </row>
    <row r="2" customFormat="false" ht="15" hidden="false" customHeight="false" outlineLevel="0" collapsed="false">
      <c r="A2" s="5" t="s">
        <v>265</v>
      </c>
      <c r="B2" s="5" t="s">
        <v>266</v>
      </c>
      <c r="C2" s="5" t="s">
        <v>20</v>
      </c>
      <c r="D2" s="10" t="n">
        <v>30</v>
      </c>
      <c r="E2" s="11"/>
      <c r="F2" s="5" t="str">
        <f aca="false">IF(E2="","",IF(E2=D2,"OK","CHECK"))</f>
        <v/>
      </c>
      <c r="G2" s="5" t="s">
        <v>267</v>
      </c>
    </row>
    <row r="3" customFormat="false" ht="15" hidden="false" customHeight="false" outlineLevel="0" collapsed="false">
      <c r="A3" s="6" t="s">
        <v>268</v>
      </c>
      <c r="B3" s="6" t="s">
        <v>269</v>
      </c>
      <c r="C3" s="6" t="s">
        <v>25</v>
      </c>
      <c r="D3" s="12" t="n">
        <v>92555</v>
      </c>
      <c r="E3" s="13"/>
      <c r="F3" s="6" t="str">
        <f aca="false">IF(E3="","",IF(E3=D3,"OK","CHECK"))</f>
        <v/>
      </c>
      <c r="G3" s="6" t="s">
        <v>270</v>
      </c>
    </row>
    <row r="4" customFormat="false" ht="15" hidden="false" customHeight="false" outlineLevel="0" collapsed="false">
      <c r="A4" s="5" t="s">
        <v>271</v>
      </c>
      <c r="B4" s="5" t="s">
        <v>272</v>
      </c>
      <c r="C4" s="5" t="s">
        <v>29</v>
      </c>
      <c r="D4" s="10" t="n">
        <v>23121</v>
      </c>
      <c r="E4" s="11"/>
      <c r="F4" s="5" t="str">
        <f aca="false">IF(E4="","",IF(E4=D4,"OK","CHECK"))</f>
        <v/>
      </c>
      <c r="G4" s="5" t="s">
        <v>273</v>
      </c>
    </row>
    <row r="5" customFormat="false" ht="15" hidden="false" customHeight="false" outlineLevel="0" collapsed="false">
      <c r="A5" s="6" t="s">
        <v>274</v>
      </c>
      <c r="B5" s="6" t="s">
        <v>275</v>
      </c>
      <c r="C5" s="6" t="s">
        <v>25</v>
      </c>
      <c r="D5" s="12" t="n">
        <v>23121</v>
      </c>
      <c r="E5" s="13"/>
      <c r="F5" s="6" t="str">
        <f aca="false">IF(E5="","",IF(E5=D5,"OK","CHECK"))</f>
        <v/>
      </c>
      <c r="G5" s="6" t="s">
        <v>276</v>
      </c>
    </row>
    <row r="6" customFormat="false" ht="15" hidden="false" customHeight="false" outlineLevel="0" collapsed="false">
      <c r="A6" s="5" t="s">
        <v>277</v>
      </c>
      <c r="B6" s="5" t="s">
        <v>278</v>
      </c>
      <c r="C6" s="5" t="s">
        <v>25</v>
      </c>
      <c r="D6" s="10" t="n">
        <v>64347</v>
      </c>
      <c r="E6" s="11"/>
      <c r="F6" s="5" t="str">
        <f aca="false">IF(E6="","",IF(E6=D6,"OK","CHECK"))</f>
        <v/>
      </c>
      <c r="G6" s="5" t="s">
        <v>279</v>
      </c>
    </row>
    <row r="7" customFormat="false" ht="15" hidden="false" customHeight="false" outlineLevel="0" collapsed="false">
      <c r="A7" s="6" t="s">
        <v>280</v>
      </c>
      <c r="B7" s="6" t="s">
        <v>281</v>
      </c>
      <c r="C7" s="6" t="s">
        <v>29</v>
      </c>
      <c r="D7" s="12" t="n">
        <v>8698</v>
      </c>
      <c r="E7" s="13"/>
      <c r="F7" s="6" t="str">
        <f aca="false">IF(E7="","",IF(E7=D7,"OK","CHECK"))</f>
        <v/>
      </c>
      <c r="G7" s="6" t="s">
        <v>282</v>
      </c>
    </row>
    <row r="8" customFormat="false" ht="15" hidden="false" customHeight="false" outlineLevel="0" collapsed="false">
      <c r="A8" s="5" t="s">
        <v>283</v>
      </c>
      <c r="B8" s="5" t="s">
        <v>284</v>
      </c>
      <c r="C8" s="5" t="s">
        <v>29</v>
      </c>
      <c r="D8" s="10" t="n">
        <v>5926</v>
      </c>
      <c r="E8" s="11"/>
      <c r="F8" s="5" t="str">
        <f aca="false">IF(E8="","",IF(E8=D8,"OK","CHECK"))</f>
        <v/>
      </c>
      <c r="G8" s="5" t="s">
        <v>282</v>
      </c>
    </row>
    <row r="9" customFormat="false" ht="15" hidden="false" customHeight="false" outlineLevel="0" collapsed="false">
      <c r="A9" s="6" t="s">
        <v>285</v>
      </c>
      <c r="B9" s="6" t="s">
        <v>286</v>
      </c>
      <c r="C9" s="6" t="s">
        <v>29</v>
      </c>
      <c r="D9" s="12" t="n">
        <v>8497</v>
      </c>
      <c r="E9" s="13"/>
      <c r="F9" s="6" t="str">
        <f aca="false">IF(E9="","",IF(E9=D9,"OK","CHECK"))</f>
        <v/>
      </c>
      <c r="G9" s="6" t="s">
        <v>282</v>
      </c>
    </row>
    <row r="10" customFormat="false" ht="15" hidden="false" customHeight="false" outlineLevel="0" collapsed="false">
      <c r="A10" s="5" t="s">
        <v>287</v>
      </c>
      <c r="B10" s="5" t="s">
        <v>288</v>
      </c>
      <c r="C10" s="5" t="s">
        <v>29</v>
      </c>
      <c r="D10" s="10" t="n">
        <v>0</v>
      </c>
      <c r="E10" s="11"/>
      <c r="F10" s="5" t="str">
        <f aca="false">IF(E10="","",IF(E10=D10,"OK","CHECK"))</f>
        <v/>
      </c>
      <c r="G10" s="5" t="s">
        <v>289</v>
      </c>
    </row>
    <row r="11" customFormat="false" ht="15" hidden="false" customHeight="false" outlineLevel="0" collapsed="false">
      <c r="A11" s="6" t="s">
        <v>290</v>
      </c>
      <c r="B11" s="6" t="s">
        <v>291</v>
      </c>
      <c r="C11" s="6" t="s">
        <v>29</v>
      </c>
      <c r="D11" s="12" t="n">
        <v>30</v>
      </c>
      <c r="E11" s="13"/>
      <c r="F11" s="6" t="str">
        <f aca="false">IF(E11="","",IF(E11=D11,"OK","CHECK"))</f>
        <v/>
      </c>
      <c r="G11" s="6" t="s">
        <v>292</v>
      </c>
    </row>
    <row r="12" customFormat="false" ht="15" hidden="false" customHeight="false" outlineLevel="0" collapsed="false">
      <c r="A12" s="5" t="s">
        <v>293</v>
      </c>
      <c r="B12" s="5" t="s">
        <v>294</v>
      </c>
      <c r="C12" s="5" t="s">
        <v>29</v>
      </c>
      <c r="D12" s="10" t="n">
        <v>7898</v>
      </c>
      <c r="E12" s="11"/>
      <c r="F12" s="5" t="str">
        <f aca="false">IF(E12="","",IF(E12=D12,"OK","CHECK"))</f>
        <v/>
      </c>
      <c r="G12" s="5" t="s">
        <v>295</v>
      </c>
    </row>
    <row r="13" customFormat="false" ht="15" hidden="false" customHeight="false" outlineLevel="0" collapsed="false">
      <c r="A13" s="6" t="s">
        <v>296</v>
      </c>
      <c r="B13" s="6" t="s">
        <v>297</v>
      </c>
      <c r="C13" s="6" t="s">
        <v>29</v>
      </c>
      <c r="D13" s="12" t="n">
        <v>0</v>
      </c>
      <c r="E13" s="13"/>
      <c r="F13" s="6" t="str">
        <f aca="false">IF(E13="","",IF(E13=D13,"OK","CHECK"))</f>
        <v/>
      </c>
      <c r="G13" s="6" t="s">
        <v>298</v>
      </c>
    </row>
    <row r="14" customFormat="false" ht="15" hidden="false" customHeight="false" outlineLevel="0" collapsed="false">
      <c r="A14" s="5" t="s">
        <v>299</v>
      </c>
      <c r="B14" s="5" t="s">
        <v>300</v>
      </c>
      <c r="C14" s="5" t="s">
        <v>25</v>
      </c>
      <c r="D14" s="10" t="n">
        <v>8</v>
      </c>
      <c r="E14" s="11"/>
      <c r="F14" s="5" t="str">
        <f aca="false">IF(E14="","",IF(E14=D14,"OK","CHECK"))</f>
        <v/>
      </c>
      <c r="G14" s="5" t="s">
        <v>301</v>
      </c>
    </row>
    <row r="15" customFormat="false" ht="15" hidden="false" customHeight="false" outlineLevel="0" collapsed="false">
      <c r="A15" s="6" t="s">
        <v>302</v>
      </c>
      <c r="B15" s="6" t="s">
        <v>303</v>
      </c>
      <c r="C15" s="6" t="s">
        <v>29</v>
      </c>
      <c r="D15" s="12" t="n">
        <v>10</v>
      </c>
      <c r="E15" s="13"/>
      <c r="F15" s="6" t="str">
        <f aca="false">IF(E15="","",IF(E15=D15,"OK","CHECK"))</f>
        <v/>
      </c>
      <c r="G15" s="6" t="s">
        <v>304</v>
      </c>
    </row>
    <row r="16" customFormat="false" ht="15" hidden="false" customHeight="false" outlineLevel="0" collapsed="false">
      <c r="A16" s="5" t="s">
        <v>305</v>
      </c>
      <c r="B16" s="5" t="s">
        <v>306</v>
      </c>
      <c r="C16" s="5" t="s">
        <v>29</v>
      </c>
      <c r="D16" s="10" t="n">
        <v>8</v>
      </c>
      <c r="E16" s="11"/>
      <c r="F16" s="5" t="str">
        <f aca="false">IF(E16="","",IF(E16=D16,"OK","CHECK"))</f>
        <v/>
      </c>
      <c r="G16" s="5" t="s">
        <v>307</v>
      </c>
    </row>
    <row r="17" customFormat="false" ht="15" hidden="false" customHeight="false" outlineLevel="0" collapsed="false">
      <c r="A17" s="6" t="s">
        <v>308</v>
      </c>
      <c r="B17" s="6" t="s">
        <v>309</v>
      </c>
      <c r="C17" s="6" t="s">
        <v>25</v>
      </c>
      <c r="D17" s="12" t="n">
        <v>0</v>
      </c>
      <c r="E17" s="13"/>
      <c r="F17" s="6" t="str">
        <f aca="false">IF(E17="","",IF(E17=D17,"OK","CHECK"))</f>
        <v/>
      </c>
      <c r="G17" s="6" t="s">
        <v>310</v>
      </c>
    </row>
    <row r="18" customFormat="false" ht="15" hidden="false" customHeight="false" outlineLevel="0" collapsed="false">
      <c r="A18" s="5" t="s">
        <v>311</v>
      </c>
      <c r="B18" s="5" t="s">
        <v>312</v>
      </c>
      <c r="C18" s="5" t="s">
        <v>29</v>
      </c>
      <c r="D18" s="10" t="n">
        <v>14423</v>
      </c>
      <c r="E18" s="11"/>
      <c r="F18" s="5" t="str">
        <f aca="false">IF(E18="","",IF(E18=D18,"OK","CHECK"))</f>
        <v/>
      </c>
      <c r="G18" s="5" t="s">
        <v>313</v>
      </c>
    </row>
    <row r="20" customFormat="false" ht="15" hidden="false" customHeight="false" outlineLevel="0" collapsed="false">
      <c r="A20" s="7" t="s">
        <v>314</v>
      </c>
    </row>
    <row r="21" customFormat="false" ht="15" hidden="false" customHeight="false" outlineLevel="0" collapsed="false">
      <c r="B21" s="14" t="s">
        <v>315</v>
      </c>
      <c r="D21" s="14" t="n">
        <f aca="false">D7+D8+D9-D4</f>
        <v>0</v>
      </c>
    </row>
    <row r="22" customFormat="false" ht="15" hidden="false" customHeight="false" outlineLevel="0" collapsed="false">
      <c r="B22" s="14" t="s">
        <v>316</v>
      </c>
      <c r="D22" s="14" t="str">
        <f aca="false">COUNTIF(F2:F18,"OK")&amp;" / "&amp;COUNTA(E2:E18)</f>
        <v>0 / 0</v>
      </c>
    </row>
  </sheetData>
  <autoFilter ref="A1:G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6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1" min="10" style="0" width="10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4" t="s">
        <v>259</v>
      </c>
      <c r="B1" s="4" t="s">
        <v>317</v>
      </c>
      <c r="C1" s="4" t="s">
        <v>318</v>
      </c>
      <c r="D1" s="4" t="s">
        <v>319</v>
      </c>
      <c r="E1" s="4" t="s">
        <v>320</v>
      </c>
      <c r="F1" s="4" t="s">
        <v>321</v>
      </c>
      <c r="G1" s="4" t="s">
        <v>322</v>
      </c>
      <c r="H1" s="4" t="s">
        <v>323</v>
      </c>
      <c r="I1" s="4" t="s">
        <v>324</v>
      </c>
      <c r="J1" s="4" t="s">
        <v>325</v>
      </c>
      <c r="K1" s="4" t="s">
        <v>52</v>
      </c>
      <c r="L1" s="4" t="s">
        <v>166</v>
      </c>
    </row>
    <row r="2" customFormat="false" ht="35.05" hidden="false" customHeight="false" outlineLevel="0" collapsed="false">
      <c r="A2" s="15" t="s">
        <v>326</v>
      </c>
      <c r="B2" s="5" t="s">
        <v>327</v>
      </c>
      <c r="C2" s="5" t="s">
        <v>328</v>
      </c>
      <c r="D2" s="5" t="s">
        <v>329</v>
      </c>
      <c r="E2" s="5" t="s">
        <v>330</v>
      </c>
      <c r="F2" s="5" t="s">
        <v>331</v>
      </c>
      <c r="G2" s="5" t="s">
        <v>332</v>
      </c>
      <c r="H2" s="5" t="s">
        <v>333</v>
      </c>
      <c r="I2" s="5" t="s">
        <v>334</v>
      </c>
      <c r="J2" s="5" t="s">
        <v>335</v>
      </c>
      <c r="K2" s="5" t="s">
        <v>57</v>
      </c>
      <c r="L2" s="5" t="s">
        <v>173</v>
      </c>
    </row>
    <row r="3" customFormat="false" ht="35.05" hidden="false" customHeight="false" outlineLevel="0" collapsed="false">
      <c r="A3" s="16" t="s">
        <v>336</v>
      </c>
      <c r="B3" s="6" t="s">
        <v>327</v>
      </c>
      <c r="C3" s="6" t="s">
        <v>328</v>
      </c>
      <c r="D3" s="6" t="s">
        <v>337</v>
      </c>
      <c r="E3" s="6" t="s">
        <v>338</v>
      </c>
      <c r="F3" s="6" t="s">
        <v>331</v>
      </c>
      <c r="G3" s="6" t="s">
        <v>339</v>
      </c>
      <c r="H3" s="6" t="s">
        <v>333</v>
      </c>
      <c r="I3" s="6" t="s">
        <v>340</v>
      </c>
      <c r="J3" s="6" t="s">
        <v>335</v>
      </c>
      <c r="K3" s="6" t="s">
        <v>57</v>
      </c>
      <c r="L3" s="6" t="s">
        <v>173</v>
      </c>
    </row>
    <row r="4" customFormat="false" ht="23.85" hidden="false" customHeight="false" outlineLevel="0" collapsed="false">
      <c r="A4" s="15" t="s">
        <v>341</v>
      </c>
      <c r="B4" s="5" t="s">
        <v>327</v>
      </c>
      <c r="C4" s="5" t="s">
        <v>328</v>
      </c>
      <c r="D4" s="5" t="s">
        <v>342</v>
      </c>
      <c r="E4" s="5" t="s">
        <v>343</v>
      </c>
      <c r="F4" s="5" t="s">
        <v>344</v>
      </c>
      <c r="G4" s="5" t="s">
        <v>345</v>
      </c>
      <c r="H4" s="5" t="s">
        <v>333</v>
      </c>
      <c r="I4" s="5" t="s">
        <v>346</v>
      </c>
      <c r="J4" s="5" t="s">
        <v>335</v>
      </c>
      <c r="K4" s="5" t="s">
        <v>57</v>
      </c>
      <c r="L4" s="5" t="s">
        <v>173</v>
      </c>
    </row>
    <row r="5" customFormat="false" ht="35.05" hidden="false" customHeight="false" outlineLevel="0" collapsed="false">
      <c r="A5" s="16" t="s">
        <v>347</v>
      </c>
      <c r="B5" s="6" t="s">
        <v>327</v>
      </c>
      <c r="C5" s="6" t="s">
        <v>348</v>
      </c>
      <c r="D5" s="6" t="s">
        <v>349</v>
      </c>
      <c r="E5" s="6" t="s">
        <v>350</v>
      </c>
      <c r="F5" s="6" t="s">
        <v>331</v>
      </c>
      <c r="G5" s="6" t="s">
        <v>351</v>
      </c>
      <c r="H5" s="6" t="s">
        <v>352</v>
      </c>
      <c r="I5" s="6" t="s">
        <v>353</v>
      </c>
      <c r="J5" s="6" t="s">
        <v>335</v>
      </c>
      <c r="K5" s="6" t="s">
        <v>57</v>
      </c>
      <c r="L5" s="6" t="s">
        <v>173</v>
      </c>
    </row>
    <row r="6" customFormat="false" ht="23.85" hidden="false" customHeight="false" outlineLevel="0" collapsed="false">
      <c r="A6" s="15" t="s">
        <v>354</v>
      </c>
      <c r="B6" s="5" t="s">
        <v>327</v>
      </c>
      <c r="C6" s="5" t="s">
        <v>348</v>
      </c>
      <c r="D6" s="5" t="s">
        <v>355</v>
      </c>
      <c r="E6" s="5" t="s">
        <v>356</v>
      </c>
      <c r="F6" s="5" t="s">
        <v>344</v>
      </c>
      <c r="G6" s="5" t="s">
        <v>357</v>
      </c>
      <c r="H6" s="5" t="s">
        <v>352</v>
      </c>
      <c r="I6" s="5" t="s">
        <v>358</v>
      </c>
      <c r="J6" s="5" t="s">
        <v>335</v>
      </c>
      <c r="K6" s="5" t="s">
        <v>57</v>
      </c>
      <c r="L6" s="5" t="s">
        <v>173</v>
      </c>
    </row>
    <row r="7" customFormat="false" ht="35.05" hidden="false" customHeight="false" outlineLevel="0" collapsed="false">
      <c r="A7" s="16" t="s">
        <v>359</v>
      </c>
      <c r="B7" s="6" t="s">
        <v>360</v>
      </c>
      <c r="C7" s="6" t="s">
        <v>361</v>
      </c>
      <c r="D7" s="6" t="s">
        <v>362</v>
      </c>
      <c r="E7" s="6" t="s">
        <v>363</v>
      </c>
      <c r="F7" s="6" t="s">
        <v>331</v>
      </c>
      <c r="G7" s="6" t="s">
        <v>364</v>
      </c>
      <c r="H7" s="6" t="s">
        <v>365</v>
      </c>
      <c r="I7" s="6" t="s">
        <v>366</v>
      </c>
      <c r="J7" s="6" t="s">
        <v>335</v>
      </c>
      <c r="K7" s="6" t="s">
        <v>57</v>
      </c>
      <c r="L7" s="6" t="s">
        <v>173</v>
      </c>
    </row>
    <row r="8" customFormat="false" ht="35.05" hidden="false" customHeight="false" outlineLevel="0" collapsed="false">
      <c r="A8" s="15" t="s">
        <v>367</v>
      </c>
      <c r="B8" s="5" t="s">
        <v>360</v>
      </c>
      <c r="C8" s="5" t="s">
        <v>361</v>
      </c>
      <c r="D8" s="5" t="s">
        <v>368</v>
      </c>
      <c r="E8" s="5" t="s">
        <v>369</v>
      </c>
      <c r="F8" s="5" t="s">
        <v>331</v>
      </c>
      <c r="G8" s="5" t="s">
        <v>370</v>
      </c>
      <c r="H8" s="5" t="s">
        <v>371</v>
      </c>
      <c r="I8" s="5" t="s">
        <v>372</v>
      </c>
      <c r="J8" s="5" t="s">
        <v>335</v>
      </c>
      <c r="K8" s="5" t="s">
        <v>57</v>
      </c>
      <c r="L8" s="5" t="s">
        <v>173</v>
      </c>
    </row>
    <row r="9" customFormat="false" ht="23.85" hidden="false" customHeight="false" outlineLevel="0" collapsed="false">
      <c r="A9" s="16" t="s">
        <v>373</v>
      </c>
      <c r="B9" s="6" t="s">
        <v>360</v>
      </c>
      <c r="C9" s="6" t="s">
        <v>361</v>
      </c>
      <c r="D9" s="6" t="s">
        <v>374</v>
      </c>
      <c r="E9" s="6" t="s">
        <v>375</v>
      </c>
      <c r="F9" s="6" t="s">
        <v>331</v>
      </c>
      <c r="G9" s="6" t="s">
        <v>376</v>
      </c>
      <c r="H9" s="6" t="s">
        <v>371</v>
      </c>
      <c r="I9" s="6" t="s">
        <v>372</v>
      </c>
      <c r="J9" s="6" t="s">
        <v>335</v>
      </c>
      <c r="K9" s="6" t="s">
        <v>57</v>
      </c>
      <c r="L9" s="6" t="s">
        <v>173</v>
      </c>
    </row>
    <row r="10" customFormat="false" ht="23.85" hidden="false" customHeight="false" outlineLevel="0" collapsed="false">
      <c r="A10" s="15" t="s">
        <v>377</v>
      </c>
      <c r="B10" s="5" t="s">
        <v>360</v>
      </c>
      <c r="C10" s="5" t="s">
        <v>378</v>
      </c>
      <c r="D10" s="5" t="s">
        <v>379</v>
      </c>
      <c r="E10" s="5" t="s">
        <v>380</v>
      </c>
      <c r="F10" s="5" t="s">
        <v>381</v>
      </c>
      <c r="G10" s="5" t="s">
        <v>382</v>
      </c>
      <c r="H10" s="5" t="s">
        <v>365</v>
      </c>
      <c r="I10" s="5" t="s">
        <v>383</v>
      </c>
      <c r="J10" s="5" t="s">
        <v>335</v>
      </c>
      <c r="K10" s="5" t="s">
        <v>57</v>
      </c>
      <c r="L10" s="5" t="s">
        <v>173</v>
      </c>
    </row>
    <row r="11" customFormat="false" ht="35.05" hidden="false" customHeight="false" outlineLevel="0" collapsed="false">
      <c r="A11" s="16" t="s">
        <v>384</v>
      </c>
      <c r="B11" s="6" t="s">
        <v>360</v>
      </c>
      <c r="C11" s="6" t="s">
        <v>348</v>
      </c>
      <c r="D11" s="6" t="s">
        <v>385</v>
      </c>
      <c r="E11" s="6" t="s">
        <v>386</v>
      </c>
      <c r="F11" s="6" t="s">
        <v>331</v>
      </c>
      <c r="G11" s="6" t="s">
        <v>387</v>
      </c>
      <c r="H11" s="6" t="s">
        <v>388</v>
      </c>
      <c r="I11" s="6" t="s">
        <v>389</v>
      </c>
      <c r="J11" s="6" t="s">
        <v>335</v>
      </c>
      <c r="K11" s="6" t="s">
        <v>57</v>
      </c>
      <c r="L11" s="6" t="s">
        <v>173</v>
      </c>
    </row>
    <row r="12" customFormat="false" ht="35.05" hidden="false" customHeight="false" outlineLevel="0" collapsed="false">
      <c r="A12" s="15" t="s">
        <v>390</v>
      </c>
      <c r="B12" s="5" t="s">
        <v>360</v>
      </c>
      <c r="C12" s="5" t="s">
        <v>328</v>
      </c>
      <c r="D12" s="5" t="s">
        <v>391</v>
      </c>
      <c r="E12" s="5" t="s">
        <v>392</v>
      </c>
      <c r="F12" s="5" t="s">
        <v>381</v>
      </c>
      <c r="G12" s="5" t="s">
        <v>393</v>
      </c>
      <c r="H12" s="5" t="s">
        <v>394</v>
      </c>
      <c r="I12" s="5" t="s">
        <v>395</v>
      </c>
      <c r="J12" s="5" t="s">
        <v>335</v>
      </c>
      <c r="K12" s="5" t="s">
        <v>57</v>
      </c>
      <c r="L12" s="5" t="s">
        <v>173</v>
      </c>
    </row>
    <row r="13" customFormat="false" ht="23.85" hidden="false" customHeight="false" outlineLevel="0" collapsed="false">
      <c r="A13" s="16" t="s">
        <v>396</v>
      </c>
      <c r="B13" s="6" t="s">
        <v>397</v>
      </c>
      <c r="C13" s="6" t="s">
        <v>361</v>
      </c>
      <c r="D13" s="6" t="s">
        <v>398</v>
      </c>
      <c r="E13" s="6" t="s">
        <v>399</v>
      </c>
      <c r="F13" s="6" t="s">
        <v>331</v>
      </c>
      <c r="G13" s="6" t="s">
        <v>400</v>
      </c>
      <c r="H13" s="6" t="s">
        <v>401</v>
      </c>
      <c r="I13" s="6" t="s">
        <v>402</v>
      </c>
      <c r="J13" s="6" t="s">
        <v>335</v>
      </c>
      <c r="K13" s="6" t="s">
        <v>57</v>
      </c>
      <c r="L13" s="6" t="s">
        <v>173</v>
      </c>
    </row>
    <row r="14" customFormat="false" ht="23.85" hidden="false" customHeight="false" outlineLevel="0" collapsed="false">
      <c r="A14" s="15" t="s">
        <v>403</v>
      </c>
      <c r="B14" s="5" t="s">
        <v>397</v>
      </c>
      <c r="C14" s="5" t="s">
        <v>378</v>
      </c>
      <c r="D14" s="5" t="s">
        <v>404</v>
      </c>
      <c r="E14" s="5" t="s">
        <v>405</v>
      </c>
      <c r="F14" s="5" t="s">
        <v>344</v>
      </c>
      <c r="G14" s="5" t="s">
        <v>406</v>
      </c>
      <c r="H14" s="5" t="s">
        <v>401</v>
      </c>
      <c r="I14" s="5" t="s">
        <v>402</v>
      </c>
      <c r="J14" s="5" t="s">
        <v>335</v>
      </c>
      <c r="K14" s="5" t="s">
        <v>57</v>
      </c>
      <c r="L14" s="5" t="s">
        <v>173</v>
      </c>
    </row>
    <row r="15" customFormat="false" ht="35.05" hidden="false" customHeight="false" outlineLevel="0" collapsed="false">
      <c r="A15" s="16" t="s">
        <v>407</v>
      </c>
      <c r="B15" s="6" t="s">
        <v>397</v>
      </c>
      <c r="C15" s="6" t="s">
        <v>361</v>
      </c>
      <c r="D15" s="6" t="s">
        <v>408</v>
      </c>
      <c r="E15" s="6" t="s">
        <v>409</v>
      </c>
      <c r="F15" s="6" t="s">
        <v>344</v>
      </c>
      <c r="G15" s="6" t="s">
        <v>410</v>
      </c>
      <c r="H15" s="6" t="s">
        <v>411</v>
      </c>
      <c r="I15" s="6" t="s">
        <v>412</v>
      </c>
      <c r="J15" s="6" t="s">
        <v>335</v>
      </c>
      <c r="K15" s="6" t="s">
        <v>57</v>
      </c>
      <c r="L15" s="6" t="s">
        <v>173</v>
      </c>
    </row>
    <row r="16" customFormat="false" ht="23.85" hidden="false" customHeight="false" outlineLevel="0" collapsed="false">
      <c r="A16" s="15" t="s">
        <v>413</v>
      </c>
      <c r="B16" s="5" t="s">
        <v>397</v>
      </c>
      <c r="C16" s="5" t="s">
        <v>414</v>
      </c>
      <c r="D16" s="5" t="s">
        <v>415</v>
      </c>
      <c r="E16" s="5" t="s">
        <v>416</v>
      </c>
      <c r="F16" s="5" t="s">
        <v>381</v>
      </c>
      <c r="G16" s="5" t="s">
        <v>417</v>
      </c>
      <c r="H16" s="5" t="s">
        <v>418</v>
      </c>
      <c r="I16" s="5" t="s">
        <v>419</v>
      </c>
      <c r="J16" s="5" t="s">
        <v>335</v>
      </c>
      <c r="K16" s="5" t="s">
        <v>57</v>
      </c>
      <c r="L16" s="5" t="s">
        <v>173</v>
      </c>
    </row>
    <row r="17" customFormat="false" ht="23.85" hidden="false" customHeight="false" outlineLevel="0" collapsed="false">
      <c r="A17" s="16" t="s">
        <v>420</v>
      </c>
      <c r="B17" s="6" t="s">
        <v>421</v>
      </c>
      <c r="C17" s="6" t="s">
        <v>348</v>
      </c>
      <c r="D17" s="6" t="s">
        <v>422</v>
      </c>
      <c r="E17" s="6" t="s">
        <v>423</v>
      </c>
      <c r="F17" s="6" t="s">
        <v>331</v>
      </c>
      <c r="G17" s="6" t="s">
        <v>424</v>
      </c>
      <c r="H17" s="6" t="s">
        <v>425</v>
      </c>
      <c r="I17" s="6" t="s">
        <v>426</v>
      </c>
      <c r="J17" s="6" t="s">
        <v>335</v>
      </c>
      <c r="K17" s="6" t="s">
        <v>57</v>
      </c>
      <c r="L17" s="6" t="s">
        <v>173</v>
      </c>
    </row>
    <row r="18" customFormat="false" ht="23.85" hidden="false" customHeight="false" outlineLevel="0" collapsed="false">
      <c r="A18" s="15" t="s">
        <v>427</v>
      </c>
      <c r="B18" s="5" t="s">
        <v>421</v>
      </c>
      <c r="C18" s="5" t="s">
        <v>428</v>
      </c>
      <c r="D18" s="5" t="s">
        <v>429</v>
      </c>
      <c r="E18" s="5" t="s">
        <v>430</v>
      </c>
      <c r="F18" s="5" t="s">
        <v>331</v>
      </c>
      <c r="G18" s="5" t="s">
        <v>431</v>
      </c>
      <c r="H18" s="5" t="s">
        <v>425</v>
      </c>
      <c r="I18" s="5" t="s">
        <v>432</v>
      </c>
      <c r="J18" s="5" t="s">
        <v>335</v>
      </c>
      <c r="K18" s="5" t="s">
        <v>57</v>
      </c>
      <c r="L18" s="5" t="s">
        <v>173</v>
      </c>
    </row>
    <row r="19" customFormat="false" ht="23.85" hidden="false" customHeight="false" outlineLevel="0" collapsed="false">
      <c r="A19" s="16" t="s">
        <v>433</v>
      </c>
      <c r="B19" s="6" t="s">
        <v>421</v>
      </c>
      <c r="C19" s="6" t="s">
        <v>428</v>
      </c>
      <c r="D19" s="6" t="s">
        <v>434</v>
      </c>
      <c r="E19" s="6" t="s">
        <v>435</v>
      </c>
      <c r="F19" s="6" t="s">
        <v>331</v>
      </c>
      <c r="G19" s="6" t="s">
        <v>436</v>
      </c>
      <c r="H19" s="6" t="s">
        <v>437</v>
      </c>
      <c r="I19" s="6" t="s">
        <v>438</v>
      </c>
      <c r="J19" s="6" t="s">
        <v>335</v>
      </c>
      <c r="K19" s="6" t="s">
        <v>57</v>
      </c>
      <c r="L19" s="6" t="s">
        <v>173</v>
      </c>
    </row>
    <row r="20" customFormat="false" ht="35.05" hidden="false" customHeight="false" outlineLevel="0" collapsed="false">
      <c r="A20" s="15" t="s">
        <v>439</v>
      </c>
      <c r="B20" s="5" t="s">
        <v>440</v>
      </c>
      <c r="C20" s="5" t="s">
        <v>414</v>
      </c>
      <c r="D20" s="5" t="s">
        <v>441</v>
      </c>
      <c r="E20" s="5" t="s">
        <v>442</v>
      </c>
      <c r="F20" s="5" t="s">
        <v>331</v>
      </c>
      <c r="G20" s="5" t="s">
        <v>443</v>
      </c>
      <c r="H20" s="5" t="s">
        <v>444</v>
      </c>
      <c r="I20" s="5" t="s">
        <v>445</v>
      </c>
      <c r="J20" s="5" t="s">
        <v>446</v>
      </c>
      <c r="K20" s="5" t="s">
        <v>57</v>
      </c>
      <c r="L20" s="5" t="s">
        <v>173</v>
      </c>
    </row>
    <row r="21" customFormat="false" ht="35.05" hidden="false" customHeight="false" outlineLevel="0" collapsed="false">
      <c r="A21" s="16" t="s">
        <v>447</v>
      </c>
      <c r="B21" s="6" t="s">
        <v>440</v>
      </c>
      <c r="C21" s="6" t="s">
        <v>414</v>
      </c>
      <c r="D21" s="6" t="s">
        <v>448</v>
      </c>
      <c r="E21" s="6" t="s">
        <v>449</v>
      </c>
      <c r="F21" s="6" t="s">
        <v>331</v>
      </c>
      <c r="G21" s="6" t="s">
        <v>450</v>
      </c>
      <c r="H21" s="6" t="s">
        <v>444</v>
      </c>
      <c r="I21" s="6" t="s">
        <v>451</v>
      </c>
      <c r="J21" s="6" t="s">
        <v>446</v>
      </c>
      <c r="K21" s="6" t="s">
        <v>57</v>
      </c>
      <c r="L21" s="6" t="s">
        <v>173</v>
      </c>
    </row>
    <row r="22" customFormat="false" ht="23.85" hidden="false" customHeight="false" outlineLevel="0" collapsed="false">
      <c r="A22" s="15" t="s">
        <v>452</v>
      </c>
      <c r="B22" s="5" t="s">
        <v>440</v>
      </c>
      <c r="C22" s="5" t="s">
        <v>414</v>
      </c>
      <c r="D22" s="5" t="s">
        <v>453</v>
      </c>
      <c r="E22" s="5" t="s">
        <v>454</v>
      </c>
      <c r="F22" s="5" t="s">
        <v>331</v>
      </c>
      <c r="G22" s="5" t="s">
        <v>455</v>
      </c>
      <c r="H22" s="5" t="s">
        <v>444</v>
      </c>
      <c r="I22" s="5" t="s">
        <v>456</v>
      </c>
      <c r="J22" s="5" t="s">
        <v>446</v>
      </c>
      <c r="K22" s="5" t="s">
        <v>57</v>
      </c>
      <c r="L22" s="5" t="s">
        <v>173</v>
      </c>
    </row>
    <row r="23" customFormat="false" ht="23.85" hidden="false" customHeight="false" outlineLevel="0" collapsed="false">
      <c r="A23" s="16" t="s">
        <v>457</v>
      </c>
      <c r="B23" s="6" t="s">
        <v>440</v>
      </c>
      <c r="C23" s="6" t="s">
        <v>414</v>
      </c>
      <c r="D23" s="6" t="s">
        <v>458</v>
      </c>
      <c r="E23" s="6" t="s">
        <v>459</v>
      </c>
      <c r="F23" s="6" t="s">
        <v>331</v>
      </c>
      <c r="G23" s="6" t="s">
        <v>460</v>
      </c>
      <c r="H23" s="6" t="s">
        <v>444</v>
      </c>
      <c r="I23" s="6" t="s">
        <v>461</v>
      </c>
      <c r="J23" s="6" t="s">
        <v>446</v>
      </c>
      <c r="K23" s="6" t="s">
        <v>57</v>
      </c>
      <c r="L23" s="6" t="s">
        <v>173</v>
      </c>
    </row>
    <row r="24" customFormat="false" ht="23.85" hidden="false" customHeight="false" outlineLevel="0" collapsed="false">
      <c r="A24" s="15" t="s">
        <v>462</v>
      </c>
      <c r="B24" s="5" t="s">
        <v>440</v>
      </c>
      <c r="C24" s="5" t="s">
        <v>428</v>
      </c>
      <c r="D24" s="5" t="s">
        <v>463</v>
      </c>
      <c r="E24" s="5" t="s">
        <v>464</v>
      </c>
      <c r="F24" s="5" t="s">
        <v>344</v>
      </c>
      <c r="G24" s="5" t="s">
        <v>465</v>
      </c>
      <c r="H24" s="5" t="s">
        <v>444</v>
      </c>
      <c r="I24" s="5" t="s">
        <v>466</v>
      </c>
      <c r="J24" s="5" t="s">
        <v>446</v>
      </c>
      <c r="K24" s="5" t="s">
        <v>57</v>
      </c>
      <c r="L24" s="5" t="s">
        <v>173</v>
      </c>
    </row>
    <row r="25" customFormat="false" ht="23.85" hidden="false" customHeight="false" outlineLevel="0" collapsed="false">
      <c r="A25" s="16" t="s">
        <v>467</v>
      </c>
      <c r="B25" s="6" t="s">
        <v>468</v>
      </c>
      <c r="C25" s="6" t="s">
        <v>428</v>
      </c>
      <c r="D25" s="6" t="s">
        <v>469</v>
      </c>
      <c r="E25" s="6" t="s">
        <v>470</v>
      </c>
      <c r="F25" s="6" t="s">
        <v>331</v>
      </c>
      <c r="G25" s="6" t="s">
        <v>471</v>
      </c>
      <c r="H25" s="6" t="s">
        <v>472</v>
      </c>
      <c r="I25" s="6" t="s">
        <v>473</v>
      </c>
      <c r="J25" s="6" t="s">
        <v>474</v>
      </c>
      <c r="K25" s="6" t="s">
        <v>57</v>
      </c>
      <c r="L25" s="6" t="s">
        <v>173</v>
      </c>
    </row>
    <row r="26" customFormat="false" ht="23.85" hidden="false" customHeight="false" outlineLevel="0" collapsed="false">
      <c r="A26" s="15" t="s">
        <v>475</v>
      </c>
      <c r="B26" s="5" t="s">
        <v>468</v>
      </c>
      <c r="C26" s="5" t="s">
        <v>476</v>
      </c>
      <c r="D26" s="5" t="s">
        <v>477</v>
      </c>
      <c r="E26" s="5" t="s">
        <v>478</v>
      </c>
      <c r="F26" s="5" t="s">
        <v>344</v>
      </c>
      <c r="G26" s="5" t="s">
        <v>479</v>
      </c>
      <c r="H26" s="5" t="s">
        <v>472</v>
      </c>
      <c r="I26" s="5" t="s">
        <v>480</v>
      </c>
      <c r="J26" s="5" t="s">
        <v>474</v>
      </c>
      <c r="K26" s="5" t="s">
        <v>57</v>
      </c>
      <c r="L26" s="5" t="s">
        <v>173</v>
      </c>
    </row>
    <row r="27" customFormat="false" ht="23.85" hidden="false" customHeight="false" outlineLevel="0" collapsed="false">
      <c r="A27" s="16" t="s">
        <v>481</v>
      </c>
      <c r="B27" s="6" t="s">
        <v>482</v>
      </c>
      <c r="C27" s="6" t="s">
        <v>414</v>
      </c>
      <c r="D27" s="6" t="s">
        <v>483</v>
      </c>
      <c r="E27" s="6" t="s">
        <v>484</v>
      </c>
      <c r="F27" s="6" t="s">
        <v>331</v>
      </c>
      <c r="G27" s="6" t="s">
        <v>485</v>
      </c>
      <c r="H27" s="6" t="s">
        <v>418</v>
      </c>
      <c r="I27" s="6" t="s">
        <v>486</v>
      </c>
      <c r="J27" s="6" t="s">
        <v>335</v>
      </c>
      <c r="K27" s="6" t="s">
        <v>57</v>
      </c>
      <c r="L27" s="6" t="s">
        <v>173</v>
      </c>
    </row>
    <row r="28" customFormat="false" ht="35.05" hidden="false" customHeight="false" outlineLevel="0" collapsed="false">
      <c r="A28" s="15" t="s">
        <v>487</v>
      </c>
      <c r="B28" s="5" t="s">
        <v>482</v>
      </c>
      <c r="C28" s="5" t="s">
        <v>414</v>
      </c>
      <c r="D28" s="5" t="s">
        <v>488</v>
      </c>
      <c r="E28" s="5" t="s">
        <v>489</v>
      </c>
      <c r="F28" s="5" t="s">
        <v>331</v>
      </c>
      <c r="G28" s="5" t="s">
        <v>490</v>
      </c>
      <c r="H28" s="5" t="s">
        <v>491</v>
      </c>
      <c r="I28" s="5" t="s">
        <v>492</v>
      </c>
      <c r="J28" s="5" t="s">
        <v>335</v>
      </c>
      <c r="K28" s="5" t="s">
        <v>57</v>
      </c>
      <c r="L28" s="5" t="s">
        <v>173</v>
      </c>
    </row>
    <row r="29" customFormat="false" ht="23.85" hidden="false" customHeight="false" outlineLevel="0" collapsed="false">
      <c r="A29" s="16" t="s">
        <v>493</v>
      </c>
      <c r="B29" s="6" t="s">
        <v>482</v>
      </c>
      <c r="C29" s="6" t="s">
        <v>414</v>
      </c>
      <c r="D29" s="6" t="s">
        <v>494</v>
      </c>
      <c r="E29" s="6" t="s">
        <v>495</v>
      </c>
      <c r="F29" s="6" t="s">
        <v>331</v>
      </c>
      <c r="G29" s="6" t="s">
        <v>496</v>
      </c>
      <c r="H29" s="6" t="s">
        <v>418</v>
      </c>
      <c r="I29" s="6" t="s">
        <v>497</v>
      </c>
      <c r="J29" s="6" t="s">
        <v>335</v>
      </c>
      <c r="K29" s="6" t="s">
        <v>57</v>
      </c>
      <c r="L29" s="6" t="s">
        <v>173</v>
      </c>
    </row>
  </sheetData>
  <autoFilter ref="A1:L29"/>
  <dataValidations count="2">
    <dataValidation allowBlank="false" errorStyle="stop" operator="between" showDropDown="false" showErrorMessage="false" showInputMessage="false" sqref="F2:F29" type="list">
      <formula1>"Must,Should,Could"</formula1>
      <formula2>0</formula2>
    </dataValidation>
    <dataValidation allowBlank="false" errorStyle="stop" operator="between" showDropDown="false" showErrorMessage="false" showInputMessage="false" sqref="L2:L29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4" t="s">
        <v>259</v>
      </c>
      <c r="B1" s="4" t="s">
        <v>498</v>
      </c>
      <c r="C1" s="4" t="s">
        <v>499</v>
      </c>
      <c r="D1" s="4" t="s">
        <v>500</v>
      </c>
      <c r="E1" s="4" t="s">
        <v>158</v>
      </c>
      <c r="F1" s="4" t="s">
        <v>501</v>
      </c>
      <c r="G1" s="4" t="s">
        <v>502</v>
      </c>
      <c r="H1" s="4" t="s">
        <v>52</v>
      </c>
    </row>
    <row r="2" customFormat="false" ht="15" hidden="false" customHeight="false" outlineLevel="0" collapsed="false">
      <c r="A2" s="5" t="s">
        <v>503</v>
      </c>
      <c r="B2" s="5" t="s">
        <v>504</v>
      </c>
      <c r="C2" s="5" t="s">
        <v>505</v>
      </c>
      <c r="D2" s="17" t="s">
        <v>506</v>
      </c>
      <c r="E2" s="5" t="s">
        <v>25</v>
      </c>
      <c r="F2" s="5" t="s">
        <v>170</v>
      </c>
      <c r="G2" s="18" t="n">
        <v>92555</v>
      </c>
      <c r="H2" s="5" t="s">
        <v>57</v>
      </c>
    </row>
    <row r="3" customFormat="false" ht="15" hidden="false" customHeight="false" outlineLevel="0" collapsed="false">
      <c r="A3" s="6" t="s">
        <v>507</v>
      </c>
      <c r="B3" s="6" t="s">
        <v>508</v>
      </c>
      <c r="C3" s="6" t="s">
        <v>509</v>
      </c>
      <c r="D3" s="19" t="s">
        <v>510</v>
      </c>
      <c r="E3" s="6" t="s">
        <v>25</v>
      </c>
      <c r="F3" s="6" t="s">
        <v>170</v>
      </c>
      <c r="G3" s="20" t="n">
        <v>0.69522986332451</v>
      </c>
      <c r="H3" s="6" t="s">
        <v>57</v>
      </c>
    </row>
    <row r="4" customFormat="false" ht="15" hidden="false" customHeight="false" outlineLevel="0" collapsed="false">
      <c r="A4" s="5" t="s">
        <v>511</v>
      </c>
      <c r="B4" s="5" t="s">
        <v>512</v>
      </c>
      <c r="C4" s="5" t="s">
        <v>513</v>
      </c>
      <c r="D4" s="17" t="s">
        <v>514</v>
      </c>
      <c r="E4" s="5" t="s">
        <v>25</v>
      </c>
      <c r="F4" s="5" t="s">
        <v>170</v>
      </c>
      <c r="G4" s="21" t="n">
        <v>0.359317450697002</v>
      </c>
      <c r="H4" s="5" t="s">
        <v>57</v>
      </c>
    </row>
    <row r="5" customFormat="false" ht="15" hidden="false" customHeight="false" outlineLevel="0" collapsed="false">
      <c r="A5" s="6" t="s">
        <v>515</v>
      </c>
      <c r="B5" s="6" t="s">
        <v>516</v>
      </c>
      <c r="C5" s="6" t="s">
        <v>517</v>
      </c>
      <c r="D5" s="19" t="s">
        <v>518</v>
      </c>
      <c r="E5" s="6" t="s">
        <v>29</v>
      </c>
      <c r="F5" s="6" t="s">
        <v>170</v>
      </c>
      <c r="G5" s="22" t="n">
        <v>23121</v>
      </c>
      <c r="H5" s="6" t="s">
        <v>57</v>
      </c>
    </row>
    <row r="6" customFormat="false" ht="23.85" hidden="false" customHeight="false" outlineLevel="0" collapsed="false">
      <c r="A6" s="5" t="s">
        <v>519</v>
      </c>
      <c r="B6" s="5" t="s">
        <v>520</v>
      </c>
      <c r="C6" s="5" t="s">
        <v>521</v>
      </c>
      <c r="D6" s="17" t="s">
        <v>522</v>
      </c>
      <c r="E6" s="5" t="s">
        <v>29</v>
      </c>
      <c r="F6" s="5" t="s">
        <v>523</v>
      </c>
      <c r="G6" s="21" t="n">
        <v>0.705368447708281</v>
      </c>
      <c r="H6" s="5" t="s">
        <v>57</v>
      </c>
    </row>
    <row r="7" customFormat="false" ht="15" hidden="false" customHeight="false" outlineLevel="0" collapsed="false">
      <c r="A7" s="6" t="s">
        <v>524</v>
      </c>
      <c r="B7" s="6" t="s">
        <v>525</v>
      </c>
      <c r="C7" s="6" t="s">
        <v>526</v>
      </c>
      <c r="D7" s="19" t="s">
        <v>527</v>
      </c>
      <c r="E7" s="6" t="s">
        <v>29</v>
      </c>
      <c r="F7" s="6" t="s">
        <v>528</v>
      </c>
      <c r="G7" s="20" t="n">
        <v>0.294631552291719</v>
      </c>
      <c r="H7" s="6" t="s">
        <v>57</v>
      </c>
    </row>
    <row r="8" customFormat="false" ht="15" hidden="false" customHeight="false" outlineLevel="0" collapsed="false">
      <c r="A8" s="5" t="s">
        <v>529</v>
      </c>
      <c r="B8" s="5" t="s">
        <v>530</v>
      </c>
      <c r="C8" s="5" t="s">
        <v>531</v>
      </c>
      <c r="D8" s="17" t="s">
        <v>532</v>
      </c>
      <c r="E8" s="5" t="s">
        <v>29</v>
      </c>
      <c r="F8" s="5" t="s">
        <v>533</v>
      </c>
      <c r="G8" s="21" t="n">
        <v>0.256303793088534</v>
      </c>
      <c r="H8" s="5" t="s">
        <v>57</v>
      </c>
    </row>
    <row r="9" customFormat="false" ht="15" hidden="false" customHeight="false" outlineLevel="0" collapsed="false">
      <c r="A9" s="6" t="s">
        <v>534</v>
      </c>
      <c r="B9" s="6" t="s">
        <v>535</v>
      </c>
      <c r="C9" s="6" t="s">
        <v>536</v>
      </c>
      <c r="D9" s="19" t="s">
        <v>537</v>
      </c>
      <c r="E9" s="6" t="s">
        <v>29</v>
      </c>
      <c r="F9" s="6" t="s">
        <v>528</v>
      </c>
      <c r="G9" s="20" t="n">
        <v>0.870093694606229</v>
      </c>
      <c r="H9" s="6" t="s">
        <v>57</v>
      </c>
    </row>
    <row r="10" customFormat="false" ht="23.85" hidden="false" customHeight="false" outlineLevel="0" collapsed="false">
      <c r="A10" s="5" t="s">
        <v>538</v>
      </c>
      <c r="B10" s="5" t="s">
        <v>539</v>
      </c>
      <c r="C10" s="5" t="s">
        <v>540</v>
      </c>
      <c r="D10" s="17" t="s">
        <v>541</v>
      </c>
      <c r="E10" s="5" t="s">
        <v>29</v>
      </c>
      <c r="F10" s="5" t="s">
        <v>542</v>
      </c>
      <c r="G10" s="23" t="s">
        <v>543</v>
      </c>
      <c r="H10" s="5" t="s">
        <v>57</v>
      </c>
    </row>
    <row r="11" customFormat="false" ht="15" hidden="false" customHeight="false" outlineLevel="0" collapsed="false">
      <c r="A11" s="6" t="s">
        <v>544</v>
      </c>
      <c r="B11" s="6" t="s">
        <v>545</v>
      </c>
      <c r="C11" s="6" t="s">
        <v>546</v>
      </c>
      <c r="D11" s="19" t="s">
        <v>547</v>
      </c>
      <c r="E11" s="6" t="s">
        <v>25</v>
      </c>
      <c r="F11" s="6" t="s">
        <v>170</v>
      </c>
      <c r="G11" s="20" t="s">
        <v>548</v>
      </c>
      <c r="H11" s="6" t="s">
        <v>57</v>
      </c>
    </row>
    <row r="13" customFormat="false" ht="15" hidden="false" customHeight="false" outlineLevel="0" collapsed="false">
      <c r="A13" s="24" t="s">
        <v>549</v>
      </c>
    </row>
  </sheetData>
  <autoFilter ref="A1:H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7" min="5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25" t="s">
        <v>550</v>
      </c>
    </row>
    <row r="2" customFormat="false" ht="23.85" hidden="false" customHeight="false" outlineLevel="0" collapsed="false">
      <c r="A2" s="4" t="s">
        <v>551</v>
      </c>
      <c r="B2" s="4" t="s">
        <v>552</v>
      </c>
      <c r="C2" s="4" t="s">
        <v>553</v>
      </c>
      <c r="D2" s="4" t="s">
        <v>554</v>
      </c>
      <c r="E2" s="4" t="s">
        <v>555</v>
      </c>
      <c r="F2" s="4" t="s">
        <v>556</v>
      </c>
      <c r="G2" s="4" t="s">
        <v>557</v>
      </c>
    </row>
    <row r="3" customFormat="false" ht="15" hidden="false" customHeight="false" outlineLevel="0" collapsed="false">
      <c r="A3" s="26" t="n">
        <v>1</v>
      </c>
      <c r="B3" s="27" t="s">
        <v>558</v>
      </c>
      <c r="C3" s="28" t="n">
        <v>3247</v>
      </c>
      <c r="D3" s="28" t="n">
        <v>1137</v>
      </c>
      <c r="E3" s="29" t="n">
        <v>0.793315743183817</v>
      </c>
      <c r="F3" s="29" t="n">
        <v>0.206684256816183</v>
      </c>
      <c r="G3" s="29" t="n">
        <v>0.165999384046812</v>
      </c>
    </row>
    <row r="4" customFormat="false" ht="15" hidden="false" customHeight="false" outlineLevel="0" collapsed="false">
      <c r="A4" s="30" t="n">
        <v>2</v>
      </c>
      <c r="B4" s="31" t="s">
        <v>559</v>
      </c>
      <c r="C4" s="32" t="n">
        <v>1862</v>
      </c>
      <c r="D4" s="32" t="n">
        <v>665</v>
      </c>
      <c r="E4" s="33" t="n">
        <v>0.753383458646617</v>
      </c>
      <c r="F4" s="33" t="n">
        <v>0.246616541353384</v>
      </c>
      <c r="G4" s="33" t="n">
        <v>0.220730397422127</v>
      </c>
    </row>
    <row r="5" customFormat="false" ht="15" hidden="false" customHeight="false" outlineLevel="0" collapsed="false">
      <c r="A5" s="26" t="n">
        <v>3</v>
      </c>
      <c r="B5" s="27" t="s">
        <v>560</v>
      </c>
      <c r="C5" s="28" t="n">
        <v>3454</v>
      </c>
      <c r="D5" s="28" t="n">
        <v>1173</v>
      </c>
      <c r="E5" s="29" t="n">
        <v>0.729752770673487</v>
      </c>
      <c r="F5" s="29" t="n">
        <v>0.270247229326513</v>
      </c>
      <c r="G5" s="29" t="n">
        <v>0.235958309206717</v>
      </c>
    </row>
    <row r="6" customFormat="false" ht="15" hidden="false" customHeight="false" outlineLevel="0" collapsed="false">
      <c r="A6" s="30" t="n">
        <v>4</v>
      </c>
      <c r="B6" s="31" t="s">
        <v>561</v>
      </c>
      <c r="C6" s="32" t="n">
        <v>2074</v>
      </c>
      <c r="D6" s="32" t="n">
        <v>684</v>
      </c>
      <c r="E6" s="33" t="n">
        <v>0.717836257309942</v>
      </c>
      <c r="F6" s="33" t="n">
        <v>0.282163742690059</v>
      </c>
      <c r="G6" s="33" t="n">
        <v>0.241080038572806</v>
      </c>
    </row>
    <row r="7" customFormat="false" ht="15" hidden="false" customHeight="false" outlineLevel="0" collapsed="false">
      <c r="A7" s="26" t="n">
        <v>5</v>
      </c>
      <c r="B7" s="27" t="s">
        <v>562</v>
      </c>
      <c r="C7" s="28" t="n">
        <v>1998</v>
      </c>
      <c r="D7" s="28" t="n">
        <v>663</v>
      </c>
      <c r="E7" s="29" t="n">
        <v>0.702865761689291</v>
      </c>
      <c r="F7" s="29" t="n">
        <v>0.297134238310709</v>
      </c>
      <c r="G7" s="29" t="n">
        <v>0.272272272272272</v>
      </c>
    </row>
    <row r="8" customFormat="false" ht="15" hidden="false" customHeight="false" outlineLevel="0" collapsed="false">
      <c r="A8" s="30" t="n">
        <v>6</v>
      </c>
      <c r="B8" s="31" t="s">
        <v>563</v>
      </c>
      <c r="C8" s="32" t="n">
        <v>2295</v>
      </c>
      <c r="D8" s="32" t="n">
        <v>803</v>
      </c>
      <c r="E8" s="33" t="n">
        <v>0.698630136986301</v>
      </c>
      <c r="F8" s="33" t="n">
        <v>0.301369863013699</v>
      </c>
      <c r="G8" s="33" t="n">
        <v>0.261873638344227</v>
      </c>
    </row>
    <row r="9" customFormat="false" ht="15" hidden="false" customHeight="false" outlineLevel="0" collapsed="false">
      <c r="A9" s="26" t="n">
        <v>7</v>
      </c>
      <c r="B9" s="27" t="s">
        <v>564</v>
      </c>
      <c r="C9" s="28" t="n">
        <v>2632</v>
      </c>
      <c r="D9" s="28" t="n">
        <v>884</v>
      </c>
      <c r="E9" s="29" t="n">
        <v>0.67420814479638</v>
      </c>
      <c r="F9" s="29" t="n">
        <v>0.32579185520362</v>
      </c>
      <c r="G9" s="29" t="n">
        <v>0.284574468085106</v>
      </c>
    </row>
    <row r="10" customFormat="false" ht="15" hidden="false" customHeight="false" outlineLevel="0" collapsed="false">
      <c r="A10" s="30" t="n">
        <v>8</v>
      </c>
      <c r="B10" s="31" t="s">
        <v>98</v>
      </c>
      <c r="C10" s="32" t="n">
        <v>1360</v>
      </c>
      <c r="D10" s="32" t="n">
        <v>462</v>
      </c>
      <c r="E10" s="33" t="n">
        <v>0.66017316017316</v>
      </c>
      <c r="F10" s="33" t="n">
        <v>0.33982683982684</v>
      </c>
      <c r="G10" s="33" t="n">
        <v>0.286764705882353</v>
      </c>
    </row>
    <row r="11" customFormat="false" ht="15" hidden="false" customHeight="false" outlineLevel="0" collapsed="false">
      <c r="A11" s="26" t="n">
        <v>9</v>
      </c>
      <c r="B11" s="27" t="s">
        <v>565</v>
      </c>
      <c r="C11" s="28" t="n">
        <v>1914</v>
      </c>
      <c r="D11" s="28" t="n">
        <v>664</v>
      </c>
      <c r="E11" s="29" t="n">
        <v>0.63855421686747</v>
      </c>
      <c r="F11" s="29" t="n">
        <v>0.36144578313253</v>
      </c>
      <c r="G11" s="29" t="n">
        <v>0.318181818181818</v>
      </c>
    </row>
    <row r="12" customFormat="false" ht="15" hidden="false" customHeight="false" outlineLevel="0" collapsed="false">
      <c r="A12" s="30" t="n">
        <v>10</v>
      </c>
      <c r="B12" s="31" t="s">
        <v>119</v>
      </c>
      <c r="C12" s="32" t="n">
        <v>2285</v>
      </c>
      <c r="D12" s="32" t="n">
        <v>763</v>
      </c>
      <c r="E12" s="33" t="n">
        <v>0.614678899082569</v>
      </c>
      <c r="F12" s="33" t="n">
        <v>0.385321100917431</v>
      </c>
      <c r="G12" s="33" t="n">
        <v>0.336105032822757</v>
      </c>
    </row>
    <row r="15" customFormat="false" ht="15" hidden="false" customHeight="false" outlineLevel="0" collapsed="false">
      <c r="A15" s="25" t="s">
        <v>566</v>
      </c>
    </row>
    <row r="16" customFormat="false" ht="15" hidden="false" customHeight="false" outlineLevel="0" collapsed="false">
      <c r="A16" s="4" t="s">
        <v>567</v>
      </c>
      <c r="B16" s="4" t="s">
        <v>568</v>
      </c>
      <c r="C16" s="4" t="s">
        <v>140</v>
      </c>
      <c r="D16" s="4" t="s">
        <v>569</v>
      </c>
      <c r="E16" s="4" t="s">
        <v>570</v>
      </c>
      <c r="F16" s="4" t="s">
        <v>571</v>
      </c>
      <c r="G16" s="4" t="s">
        <v>572</v>
      </c>
      <c r="H16" s="4" t="s">
        <v>573</v>
      </c>
    </row>
    <row r="17" customFormat="false" ht="15" hidden="false" customHeight="false" outlineLevel="0" collapsed="false">
      <c r="A17" s="26" t="n">
        <v>2018</v>
      </c>
      <c r="B17" s="28" t="n">
        <v>1807</v>
      </c>
      <c r="C17" s="28" t="n">
        <v>796</v>
      </c>
      <c r="D17" s="28" t="n">
        <v>0</v>
      </c>
      <c r="E17" s="28" t="n">
        <v>2603</v>
      </c>
      <c r="F17" s="29" t="n">
        <v>0.694199001152516</v>
      </c>
      <c r="G17" s="29" t="n">
        <v>0.305800998847484</v>
      </c>
      <c r="H17" s="29" t="n">
        <v>0</v>
      </c>
    </row>
    <row r="18" customFormat="false" ht="15" hidden="false" customHeight="false" outlineLevel="0" collapsed="false">
      <c r="A18" s="30" t="n">
        <v>2019</v>
      </c>
      <c r="B18" s="32" t="n">
        <v>1931</v>
      </c>
      <c r="C18" s="32" t="n">
        <v>778</v>
      </c>
      <c r="D18" s="32" t="n">
        <v>0</v>
      </c>
      <c r="E18" s="32" t="n">
        <v>2709</v>
      </c>
      <c r="F18" s="33" t="n">
        <v>0.71280915466962</v>
      </c>
      <c r="G18" s="33" t="n">
        <v>0.28719084533038</v>
      </c>
      <c r="H18" s="33" t="n">
        <v>0</v>
      </c>
    </row>
    <row r="19" customFormat="false" ht="15" hidden="false" customHeight="false" outlineLevel="0" collapsed="false">
      <c r="A19" s="26" t="n">
        <v>2020</v>
      </c>
      <c r="B19" s="28" t="n">
        <v>1833</v>
      </c>
      <c r="C19" s="28" t="n">
        <v>753</v>
      </c>
      <c r="D19" s="28" t="n">
        <v>0</v>
      </c>
      <c r="E19" s="28" t="n">
        <v>2586</v>
      </c>
      <c r="F19" s="29" t="n">
        <v>0.708816705336427</v>
      </c>
      <c r="G19" s="29" t="n">
        <v>0.291183294663573</v>
      </c>
      <c r="H19" s="29" t="n">
        <v>0</v>
      </c>
    </row>
    <row r="20" customFormat="false" ht="15" hidden="false" customHeight="false" outlineLevel="0" collapsed="false">
      <c r="A20" s="30" t="n">
        <v>2021</v>
      </c>
      <c r="B20" s="32" t="n">
        <v>1826</v>
      </c>
      <c r="C20" s="32" t="n">
        <v>837</v>
      </c>
      <c r="D20" s="32" t="n">
        <v>177</v>
      </c>
      <c r="E20" s="32" t="n">
        <v>2840</v>
      </c>
      <c r="F20" s="33" t="n">
        <v>0.642957746478873</v>
      </c>
      <c r="G20" s="33" t="n">
        <v>0.294718309859155</v>
      </c>
      <c r="H20" s="33" t="n">
        <v>0.0623239436619718</v>
      </c>
    </row>
    <row r="21" customFormat="false" ht="15" hidden="false" customHeight="false" outlineLevel="0" collapsed="false">
      <c r="A21" s="26" t="n">
        <v>2022</v>
      </c>
      <c r="B21" s="28" t="n">
        <v>1301</v>
      </c>
      <c r="C21" s="28" t="n">
        <v>874</v>
      </c>
      <c r="D21" s="28" t="n">
        <v>809</v>
      </c>
      <c r="E21" s="28" t="n">
        <v>2984</v>
      </c>
      <c r="F21" s="29" t="n">
        <v>0.435991957104558</v>
      </c>
      <c r="G21" s="29" t="n">
        <v>0.292895442359249</v>
      </c>
      <c r="H21" s="29" t="n">
        <v>0.271112600536193</v>
      </c>
    </row>
    <row r="22" customFormat="false" ht="15" hidden="false" customHeight="false" outlineLevel="0" collapsed="false">
      <c r="A22" s="30" t="n">
        <v>2023</v>
      </c>
      <c r="B22" s="32" t="n">
        <v>0</v>
      </c>
      <c r="C22" s="32" t="n">
        <v>840</v>
      </c>
      <c r="D22" s="32" t="n">
        <v>2158</v>
      </c>
      <c r="E22" s="32" t="n">
        <v>2998</v>
      </c>
      <c r="F22" s="33" t="n">
        <v>0</v>
      </c>
      <c r="G22" s="33" t="n">
        <v>0.280186791194129</v>
      </c>
      <c r="H22" s="33" t="n">
        <v>0.719813208805871</v>
      </c>
    </row>
    <row r="23" customFormat="false" ht="15" hidden="false" customHeight="false" outlineLevel="0" collapsed="false">
      <c r="A23" s="26" t="n">
        <v>2024</v>
      </c>
      <c r="B23" s="28" t="n">
        <v>0</v>
      </c>
      <c r="C23" s="28" t="n">
        <v>676</v>
      </c>
      <c r="D23" s="28" t="n">
        <v>2471</v>
      </c>
      <c r="E23" s="28" t="n">
        <v>3147</v>
      </c>
      <c r="F23" s="29" t="n">
        <v>0</v>
      </c>
      <c r="G23" s="29" t="n">
        <v>0.214807753415952</v>
      </c>
      <c r="H23" s="29" t="n">
        <v>0.785192246584048</v>
      </c>
    </row>
    <row r="24" customFormat="false" ht="15" hidden="false" customHeight="false" outlineLevel="0" collapsed="false">
      <c r="A24" s="30" t="n">
        <v>2025</v>
      </c>
      <c r="B24" s="32" t="n">
        <v>0</v>
      </c>
      <c r="C24" s="32" t="n">
        <v>372</v>
      </c>
      <c r="D24" s="32" t="n">
        <v>2882</v>
      </c>
      <c r="E24" s="32" t="n">
        <v>3254</v>
      </c>
      <c r="F24" s="33" t="n">
        <v>0</v>
      </c>
      <c r="G24" s="33" t="n">
        <v>0.114320835894284</v>
      </c>
      <c r="H24" s="33" t="n">
        <v>0.885679164105716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7" min="4" style="0" width="12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25" t="s">
        <v>574</v>
      </c>
    </row>
    <row r="2" customFormat="false" ht="15" hidden="false" customHeight="false" outlineLevel="0" collapsed="false">
      <c r="A2" s="4" t="s">
        <v>575</v>
      </c>
      <c r="B2" s="4" t="s">
        <v>576</v>
      </c>
      <c r="C2" s="4" t="s">
        <v>577</v>
      </c>
      <c r="D2" s="4" t="s">
        <v>578</v>
      </c>
      <c r="E2" s="4" t="s">
        <v>579</v>
      </c>
      <c r="F2" s="4" t="s">
        <v>580</v>
      </c>
      <c r="G2" s="4" t="s">
        <v>581</v>
      </c>
      <c r="H2" s="4" t="s">
        <v>582</v>
      </c>
      <c r="I2" s="4" t="s">
        <v>555</v>
      </c>
    </row>
    <row r="3" customFormat="false" ht="15" hidden="false" customHeight="false" outlineLevel="0" collapsed="false">
      <c r="A3" s="26" t="n">
        <v>1</v>
      </c>
      <c r="B3" s="27" t="s">
        <v>92</v>
      </c>
      <c r="C3" s="28" t="n">
        <v>12573</v>
      </c>
      <c r="D3" s="28" t="n">
        <v>9063</v>
      </c>
      <c r="E3" s="28" t="n">
        <v>4811</v>
      </c>
      <c r="F3" s="29" t="n">
        <v>0.720830350751611</v>
      </c>
      <c r="G3" s="29" t="n">
        <v>0.530839677810879</v>
      </c>
      <c r="H3" s="29" t="n">
        <v>0.208079235327192</v>
      </c>
      <c r="I3" s="29" t="n">
        <v>0.721928277483833</v>
      </c>
    </row>
    <row r="4" customFormat="false" ht="15" hidden="false" customHeight="false" outlineLevel="0" collapsed="false">
      <c r="A4" s="30" t="n">
        <v>2</v>
      </c>
      <c r="B4" s="31" t="s">
        <v>583</v>
      </c>
      <c r="C4" s="32" t="n">
        <v>12450</v>
      </c>
      <c r="D4" s="32" t="n">
        <v>8579</v>
      </c>
      <c r="E4" s="32" t="n">
        <v>4027</v>
      </c>
      <c r="F4" s="33" t="n">
        <v>0.689076305220884</v>
      </c>
      <c r="G4" s="33" t="n">
        <v>0.469402028208416</v>
      </c>
      <c r="H4" s="33" t="n">
        <v>0.174170667358678</v>
      </c>
      <c r="I4" s="33" t="n">
        <v>0.685530085959885</v>
      </c>
    </row>
    <row r="5" customFormat="false" ht="15" hidden="false" customHeight="false" outlineLevel="0" collapsed="false">
      <c r="A5" s="26" t="n">
        <v>3</v>
      </c>
      <c r="B5" s="27" t="s">
        <v>584</v>
      </c>
      <c r="C5" s="28" t="n">
        <v>14266</v>
      </c>
      <c r="D5" s="28" t="n">
        <v>9844</v>
      </c>
      <c r="E5" s="28" t="n">
        <v>3927</v>
      </c>
      <c r="F5" s="29" t="n">
        <v>0.690032244497406</v>
      </c>
      <c r="G5" s="29" t="n">
        <v>0.398923201950427</v>
      </c>
      <c r="H5" s="29" t="n">
        <v>0.169845594913715</v>
      </c>
      <c r="I5" s="29" t="n">
        <v>0.716793893129771</v>
      </c>
    </row>
    <row r="6" customFormat="false" ht="15" hidden="false" customHeight="false" outlineLevel="0" collapsed="false">
      <c r="A6" s="30" t="n">
        <v>4</v>
      </c>
      <c r="B6" s="31" t="s">
        <v>113</v>
      </c>
      <c r="C6" s="32" t="n">
        <v>19608</v>
      </c>
      <c r="D6" s="32" t="n">
        <v>13584</v>
      </c>
      <c r="E6" s="32" t="n">
        <v>4494</v>
      </c>
      <c r="F6" s="33" t="n">
        <v>0.692778457772338</v>
      </c>
      <c r="G6" s="33" t="n">
        <v>0.33083038869258</v>
      </c>
      <c r="H6" s="33" t="n">
        <v>0.194368755676658</v>
      </c>
      <c r="I6" s="33" t="n">
        <v>0.710526315789474</v>
      </c>
    </row>
    <row r="7" customFormat="false" ht="15" hidden="false" customHeight="false" outlineLevel="0" collapsed="false">
      <c r="A7" s="26" t="n">
        <v>5</v>
      </c>
      <c r="B7" s="27" t="s">
        <v>585</v>
      </c>
      <c r="C7" s="28" t="n">
        <v>7133</v>
      </c>
      <c r="D7" s="28" t="n">
        <v>4951</v>
      </c>
      <c r="E7" s="28" t="n">
        <v>1535</v>
      </c>
      <c r="F7" s="29" t="n">
        <v>0.694097855039955</v>
      </c>
      <c r="G7" s="29" t="n">
        <v>0.310038376085639</v>
      </c>
      <c r="H7" s="29" t="n">
        <v>0.066389862030189</v>
      </c>
      <c r="I7" s="29" t="n">
        <v>0.682888540031397</v>
      </c>
    </row>
    <row r="8" customFormat="false" ht="15" hidden="false" customHeight="false" outlineLevel="0" collapsed="false">
      <c r="A8" s="30" t="n">
        <v>6</v>
      </c>
      <c r="B8" s="31" t="s">
        <v>586</v>
      </c>
      <c r="C8" s="32" t="n">
        <v>8875</v>
      </c>
      <c r="D8" s="32" t="n">
        <v>6206</v>
      </c>
      <c r="E8" s="32" t="n">
        <v>1654</v>
      </c>
      <c r="F8" s="33" t="n">
        <v>0.699267605633803</v>
      </c>
      <c r="G8" s="33" t="n">
        <v>0.266516274572994</v>
      </c>
      <c r="H8" s="33" t="n">
        <v>0.0715366982396955</v>
      </c>
      <c r="I8" s="33" t="n">
        <v>0.708620689655172</v>
      </c>
    </row>
    <row r="9" customFormat="false" ht="15" hidden="false" customHeight="false" outlineLevel="0" collapsed="false">
      <c r="A9" s="26" t="n">
        <v>7</v>
      </c>
      <c r="B9" s="27" t="s">
        <v>587</v>
      </c>
      <c r="C9" s="28" t="n">
        <v>13725</v>
      </c>
      <c r="D9" s="28" t="n">
        <v>9437</v>
      </c>
      <c r="E9" s="28" t="n">
        <v>2152</v>
      </c>
      <c r="F9" s="29" t="n">
        <v>0.687577413479053</v>
      </c>
      <c r="G9" s="29" t="n">
        <v>0.228038571579951</v>
      </c>
      <c r="H9" s="29" t="n">
        <v>0.0930755590156135</v>
      </c>
      <c r="I9" s="29" t="n">
        <v>0.697813121272366</v>
      </c>
    </row>
    <row r="10" customFormat="false" ht="15" hidden="false" customHeight="false" outlineLevel="0" collapsed="false">
      <c r="A10" s="30" t="n">
        <v>8</v>
      </c>
      <c r="B10" s="31" t="s">
        <v>588</v>
      </c>
      <c r="C10" s="32" t="n">
        <v>3925</v>
      </c>
      <c r="D10" s="32" t="n">
        <v>2683</v>
      </c>
      <c r="E10" s="32" t="n">
        <v>521</v>
      </c>
      <c r="F10" s="33" t="n">
        <v>0.683566878980892</v>
      </c>
      <c r="G10" s="33" t="n">
        <v>0.194185613119642</v>
      </c>
      <c r="H10" s="33" t="n">
        <v>0.0225336274382596</v>
      </c>
      <c r="I10" s="33" t="n">
        <v>0.671361502347418</v>
      </c>
    </row>
    <row r="13" customFormat="false" ht="15" hidden="false" customHeight="false" outlineLevel="0" collapsed="false">
      <c r="A13" s="25" t="s">
        <v>589</v>
      </c>
    </row>
    <row r="14" customFormat="false" ht="35.05" hidden="false" customHeight="false" outlineLevel="0" collapsed="false">
      <c r="A14" s="4" t="s">
        <v>590</v>
      </c>
      <c r="B14" s="4" t="s">
        <v>577</v>
      </c>
      <c r="C14" s="4" t="s">
        <v>578</v>
      </c>
      <c r="D14" s="4" t="s">
        <v>579</v>
      </c>
      <c r="E14" s="4" t="s">
        <v>580</v>
      </c>
      <c r="F14" s="4" t="s">
        <v>581</v>
      </c>
      <c r="G14" s="4" t="s">
        <v>591</v>
      </c>
    </row>
    <row r="15" customFormat="false" ht="15" hidden="false" customHeight="false" outlineLevel="0" collapsed="false">
      <c r="A15" s="26" t="n">
        <v>2018</v>
      </c>
      <c r="B15" s="28" t="n">
        <v>10469</v>
      </c>
      <c r="C15" s="28" t="n">
        <v>7301</v>
      </c>
      <c r="D15" s="28" t="n">
        <v>2603</v>
      </c>
      <c r="E15" s="29" t="n">
        <v>0.697392301079377</v>
      </c>
      <c r="F15" s="29" t="n">
        <v>0.356526503218737</v>
      </c>
      <c r="G15" s="29" t="n">
        <v>0.0824338523259146</v>
      </c>
    </row>
    <row r="16" customFormat="false" ht="15" hidden="false" customHeight="false" outlineLevel="0" collapsed="false">
      <c r="A16" s="30" t="n">
        <v>2019</v>
      </c>
      <c r="B16" s="32" t="n">
        <v>10857</v>
      </c>
      <c r="C16" s="32" t="n">
        <v>7503</v>
      </c>
      <c r="D16" s="32" t="n">
        <v>2709</v>
      </c>
      <c r="E16" s="33" t="n">
        <v>0.691074882564244</v>
      </c>
      <c r="F16" s="33" t="n">
        <v>0.361055577768893</v>
      </c>
      <c r="G16" s="33" t="n">
        <v>0.0998434189923552</v>
      </c>
    </row>
    <row r="17" customFormat="false" ht="15" hidden="false" customHeight="false" outlineLevel="0" collapsed="false">
      <c r="A17" s="26" t="n">
        <v>2020</v>
      </c>
      <c r="B17" s="28" t="n">
        <v>10233</v>
      </c>
      <c r="C17" s="28" t="n">
        <v>7124</v>
      </c>
      <c r="D17" s="28" t="n">
        <v>2586</v>
      </c>
      <c r="E17" s="29" t="n">
        <v>0.696179028632855</v>
      </c>
      <c r="F17" s="29" t="n">
        <v>0.36299831555306</v>
      </c>
      <c r="G17" s="29" t="n">
        <v>0.119026678393433</v>
      </c>
    </row>
    <row r="18" customFormat="false" ht="15" hidden="false" customHeight="false" outlineLevel="0" collapsed="false">
      <c r="A18" s="30" t="n">
        <v>2021</v>
      </c>
      <c r="B18" s="32" t="n">
        <v>11433</v>
      </c>
      <c r="C18" s="32" t="n">
        <v>7927</v>
      </c>
      <c r="D18" s="32" t="n">
        <v>2840</v>
      </c>
      <c r="E18" s="33" t="n">
        <v>0.693343829266159</v>
      </c>
      <c r="F18" s="33" t="n">
        <v>0.358269206509398</v>
      </c>
      <c r="G18" s="33" t="n">
        <v>0.134610338493834</v>
      </c>
    </row>
    <row r="19" customFormat="false" ht="15" hidden="false" customHeight="false" outlineLevel="0" collapsed="false">
      <c r="A19" s="26" t="n">
        <v>2022</v>
      </c>
      <c r="B19" s="28" t="n">
        <v>11924</v>
      </c>
      <c r="C19" s="28" t="n">
        <v>8274</v>
      </c>
      <c r="D19" s="28" t="n">
        <v>2984</v>
      </c>
      <c r="E19" s="29" t="n">
        <v>0.693894666219389</v>
      </c>
      <c r="F19" s="29" t="n">
        <v>0.360647812424462</v>
      </c>
      <c r="G19" s="29" t="n">
        <v>0.155484736665549</v>
      </c>
    </row>
    <row r="20" customFormat="false" ht="15" hidden="false" customHeight="false" outlineLevel="0" collapsed="false">
      <c r="A20" s="30" t="n">
        <v>2023</v>
      </c>
      <c r="B20" s="32" t="n">
        <v>12059</v>
      </c>
      <c r="C20" s="32" t="n">
        <v>8374</v>
      </c>
      <c r="D20" s="32" t="n">
        <v>2998</v>
      </c>
      <c r="E20" s="33" t="n">
        <v>0.694419106061863</v>
      </c>
      <c r="F20" s="33" t="n">
        <v>0.358012897062336</v>
      </c>
      <c r="G20" s="33" t="n">
        <v>0.174309644249109</v>
      </c>
    </row>
    <row r="21" customFormat="false" ht="15" hidden="false" customHeight="false" outlineLevel="0" collapsed="false">
      <c r="A21" s="26" t="n">
        <v>2024</v>
      </c>
      <c r="B21" s="28" t="n">
        <v>12642</v>
      </c>
      <c r="C21" s="28" t="n">
        <v>8805</v>
      </c>
      <c r="D21" s="28" t="n">
        <v>3147</v>
      </c>
      <c r="E21" s="29" t="n">
        <v>0.696487897484575</v>
      </c>
      <c r="F21" s="29" t="n">
        <v>0.357410562180579</v>
      </c>
      <c r="G21" s="29" t="n">
        <v>0.189289669356115</v>
      </c>
    </row>
    <row r="22" customFormat="false" ht="15" hidden="false" customHeight="false" outlineLevel="0" collapsed="false">
      <c r="A22" s="30" t="n">
        <v>2025</v>
      </c>
      <c r="B22" s="32" t="n">
        <v>12938</v>
      </c>
      <c r="C22" s="32" t="n">
        <v>9039</v>
      </c>
      <c r="D22" s="32" t="n">
        <v>3254</v>
      </c>
      <c r="E22" s="33" t="n">
        <v>0.698639666099861</v>
      </c>
      <c r="F22" s="33" t="n">
        <v>0.359995574731718</v>
      </c>
      <c r="G22" s="33" t="n">
        <v>0.206523419384758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25" t="s">
        <v>592</v>
      </c>
    </row>
    <row r="2" customFormat="false" ht="23.85" hidden="false" customHeight="false" outlineLevel="0" collapsed="false">
      <c r="A2" s="4" t="s">
        <v>593</v>
      </c>
      <c r="B2" s="4" t="s">
        <v>167</v>
      </c>
      <c r="C2" s="4" t="s">
        <v>174</v>
      </c>
      <c r="D2" s="4" t="s">
        <v>594</v>
      </c>
      <c r="E2" s="4" t="s">
        <v>181</v>
      </c>
      <c r="F2" s="4" t="s">
        <v>595</v>
      </c>
      <c r="G2" s="4" t="s">
        <v>596</v>
      </c>
      <c r="H2" s="4" t="s">
        <v>597</v>
      </c>
      <c r="I2" s="4" t="s">
        <v>598</v>
      </c>
      <c r="J2" s="4" t="s">
        <v>599</v>
      </c>
    </row>
    <row r="3" customFormat="false" ht="15" hidden="false" customHeight="false" outlineLevel="0" collapsed="false">
      <c r="A3" s="26" t="n">
        <v>1</v>
      </c>
      <c r="B3" s="27" t="s">
        <v>600</v>
      </c>
      <c r="C3" s="27" t="s">
        <v>601</v>
      </c>
      <c r="D3" s="27" t="s">
        <v>602</v>
      </c>
      <c r="E3" s="27" t="s">
        <v>603</v>
      </c>
      <c r="F3" s="28" t="n">
        <v>78</v>
      </c>
      <c r="G3" s="29" t="n">
        <v>0.833333333333333</v>
      </c>
      <c r="H3" s="29" t="n">
        <v>0.897435897435898</v>
      </c>
      <c r="I3" s="34" t="n">
        <v>2.89346153846154</v>
      </c>
      <c r="J3" s="35" t="n">
        <v>83.2863782051282</v>
      </c>
    </row>
    <row r="4" customFormat="false" ht="15" hidden="false" customHeight="false" outlineLevel="0" collapsed="false">
      <c r="A4" s="30" t="n">
        <v>2</v>
      </c>
      <c r="B4" s="31" t="s">
        <v>604</v>
      </c>
      <c r="C4" s="31" t="s">
        <v>605</v>
      </c>
      <c r="D4" s="31" t="s">
        <v>602</v>
      </c>
      <c r="E4" s="31" t="s">
        <v>606</v>
      </c>
      <c r="F4" s="32" t="n">
        <v>317</v>
      </c>
      <c r="G4" s="33" t="n">
        <v>0.82018927444795</v>
      </c>
      <c r="H4" s="33" t="n">
        <v>0.921135646687697</v>
      </c>
      <c r="I4" s="36" t="n">
        <v>2.92362776025237</v>
      </c>
      <c r="J4" s="37" t="n">
        <v>83.2033517350158</v>
      </c>
    </row>
    <row r="5" customFormat="false" ht="15" hidden="false" customHeight="false" outlineLevel="0" collapsed="false">
      <c r="A5" s="26" t="n">
        <v>3</v>
      </c>
      <c r="B5" s="27" t="s">
        <v>607</v>
      </c>
      <c r="C5" s="27" t="s">
        <v>608</v>
      </c>
      <c r="D5" s="27" t="s">
        <v>602</v>
      </c>
      <c r="E5" s="27" t="s">
        <v>67</v>
      </c>
      <c r="F5" s="28" t="n">
        <v>251</v>
      </c>
      <c r="G5" s="29" t="n">
        <v>0.816733067729084</v>
      </c>
      <c r="H5" s="29" t="n">
        <v>0.908366533864542</v>
      </c>
      <c r="I5" s="34" t="n">
        <v>2.95139442231076</v>
      </c>
      <c r="J5" s="35" t="n">
        <v>82.7808764940239</v>
      </c>
    </row>
    <row r="6" customFormat="false" ht="15" hidden="false" customHeight="false" outlineLevel="0" collapsed="false">
      <c r="A6" s="30" t="n">
        <v>4</v>
      </c>
      <c r="B6" s="31" t="s">
        <v>609</v>
      </c>
      <c r="C6" s="31" t="s">
        <v>610</v>
      </c>
      <c r="D6" s="31" t="s">
        <v>602</v>
      </c>
      <c r="E6" s="31" t="s">
        <v>603</v>
      </c>
      <c r="F6" s="32" t="n">
        <v>289</v>
      </c>
      <c r="G6" s="33" t="n">
        <v>0.799307958477509</v>
      </c>
      <c r="H6" s="33" t="n">
        <v>0.920415224913495</v>
      </c>
      <c r="I6" s="36" t="n">
        <v>2.89494809688581</v>
      </c>
      <c r="J6" s="37" t="n">
        <v>81.8249134948097</v>
      </c>
    </row>
    <row r="7" customFormat="false" ht="15" hidden="false" customHeight="false" outlineLevel="0" collapsed="false">
      <c r="A7" s="26" t="n">
        <v>5</v>
      </c>
      <c r="B7" s="27" t="s">
        <v>611</v>
      </c>
      <c r="C7" s="27" t="s">
        <v>612</v>
      </c>
      <c r="D7" s="27" t="s">
        <v>613</v>
      </c>
      <c r="E7" s="27" t="s">
        <v>614</v>
      </c>
      <c r="F7" s="28" t="n">
        <v>396</v>
      </c>
      <c r="G7" s="29" t="n">
        <v>0.785353535353535</v>
      </c>
      <c r="H7" s="29" t="n">
        <v>0.916666666666667</v>
      </c>
      <c r="I7" s="34" t="n">
        <v>2.86603535353535</v>
      </c>
      <c r="J7" s="35" t="n">
        <v>80.7855113636364</v>
      </c>
    </row>
    <row r="8" customFormat="false" ht="15" hidden="false" customHeight="false" outlineLevel="0" collapsed="false">
      <c r="A8" s="30" t="n">
        <v>6</v>
      </c>
      <c r="B8" s="31" t="s">
        <v>615</v>
      </c>
      <c r="C8" s="31" t="s">
        <v>616</v>
      </c>
      <c r="D8" s="31" t="s">
        <v>613</v>
      </c>
      <c r="E8" s="31" t="s">
        <v>603</v>
      </c>
      <c r="F8" s="32" t="n">
        <v>112</v>
      </c>
      <c r="G8" s="33" t="n">
        <v>0.776785714285714</v>
      </c>
      <c r="H8" s="33" t="n">
        <v>0.919642857142857</v>
      </c>
      <c r="I8" s="36" t="n">
        <v>2.90705357142857</v>
      </c>
      <c r="J8" s="37" t="n">
        <v>80.4996651785714</v>
      </c>
    </row>
    <row r="9" customFormat="false" ht="15" hidden="false" customHeight="false" outlineLevel="0" collapsed="false">
      <c r="A9" s="26" t="n">
        <v>7</v>
      </c>
      <c r="B9" s="27" t="s">
        <v>617</v>
      </c>
      <c r="C9" s="27" t="s">
        <v>618</v>
      </c>
      <c r="D9" s="27" t="s">
        <v>602</v>
      </c>
      <c r="E9" s="27" t="s">
        <v>67</v>
      </c>
      <c r="F9" s="28" t="n">
        <v>145</v>
      </c>
      <c r="G9" s="29" t="n">
        <v>0.758620689655172</v>
      </c>
      <c r="H9" s="29" t="n">
        <v>0.896551724137931</v>
      </c>
      <c r="I9" s="34" t="n">
        <v>2.93358620689655</v>
      </c>
      <c r="J9" s="35" t="n">
        <v>78.9319827586207</v>
      </c>
    </row>
    <row r="10" customFormat="false" ht="15" hidden="false" customHeight="false" outlineLevel="0" collapsed="false">
      <c r="A10" s="30" t="n">
        <v>8</v>
      </c>
      <c r="B10" s="31" t="s">
        <v>619</v>
      </c>
      <c r="C10" s="31" t="s">
        <v>620</v>
      </c>
      <c r="D10" s="31" t="s">
        <v>602</v>
      </c>
      <c r="E10" s="31" t="s">
        <v>606</v>
      </c>
      <c r="F10" s="32" t="n">
        <v>173</v>
      </c>
      <c r="G10" s="33" t="n">
        <v>0.757225433526012</v>
      </c>
      <c r="H10" s="33" t="n">
        <v>0.895953757225434</v>
      </c>
      <c r="I10" s="36" t="n">
        <v>2.85630057803468</v>
      </c>
      <c r="J10" s="37" t="n">
        <v>78.5434971098266</v>
      </c>
    </row>
    <row r="11" customFormat="false" ht="15" hidden="false" customHeight="false" outlineLevel="0" collapsed="false">
      <c r="A11" s="26" t="n">
        <v>9</v>
      </c>
      <c r="B11" s="27" t="s">
        <v>621</v>
      </c>
      <c r="C11" s="27" t="s">
        <v>622</v>
      </c>
      <c r="D11" s="27" t="s">
        <v>613</v>
      </c>
      <c r="E11" s="27" t="s">
        <v>614</v>
      </c>
      <c r="F11" s="28" t="n">
        <v>139</v>
      </c>
      <c r="G11" s="29" t="n">
        <v>0.755395683453237</v>
      </c>
      <c r="H11" s="29" t="n">
        <v>0.884892086330935</v>
      </c>
      <c r="I11" s="34" t="n">
        <v>2.84575539568345</v>
      </c>
      <c r="J11" s="35" t="n">
        <v>78.1176258992806</v>
      </c>
    </row>
    <row r="12" customFormat="false" ht="15" hidden="false" customHeight="false" outlineLevel="0" collapsed="false">
      <c r="A12" s="30" t="n">
        <v>10</v>
      </c>
      <c r="B12" s="31" t="s">
        <v>623</v>
      </c>
      <c r="C12" s="31" t="s">
        <v>624</v>
      </c>
      <c r="D12" s="31" t="s">
        <v>602</v>
      </c>
      <c r="E12" s="31" t="s">
        <v>67</v>
      </c>
      <c r="F12" s="32" t="n">
        <v>102</v>
      </c>
      <c r="G12" s="33" t="n">
        <v>0.725490196078431</v>
      </c>
      <c r="H12" s="33" t="n">
        <v>0.941176470588235</v>
      </c>
      <c r="I12" s="36" t="n">
        <v>2.88882352941177</v>
      </c>
      <c r="J12" s="37" t="n">
        <v>77.8919117647059</v>
      </c>
    </row>
    <row r="13" customFormat="false" ht="15" hidden="false" customHeight="false" outlineLevel="0" collapsed="false">
      <c r="A13" s="26" t="n">
        <v>11</v>
      </c>
      <c r="B13" s="27" t="s">
        <v>625</v>
      </c>
      <c r="C13" s="27" t="s">
        <v>626</v>
      </c>
      <c r="D13" s="27" t="s">
        <v>602</v>
      </c>
      <c r="E13" s="27" t="s">
        <v>606</v>
      </c>
      <c r="F13" s="28" t="n">
        <v>504</v>
      </c>
      <c r="G13" s="29" t="n">
        <v>0.753968253968254</v>
      </c>
      <c r="H13" s="29" t="n">
        <v>0.876984126984127</v>
      </c>
      <c r="I13" s="34" t="n">
        <v>2.85295634920635</v>
      </c>
      <c r="J13" s="35" t="n">
        <v>77.8612847222222</v>
      </c>
    </row>
    <row r="14" customFormat="false" ht="15" hidden="false" customHeight="false" outlineLevel="0" collapsed="false">
      <c r="A14" s="30" t="n">
        <v>12</v>
      </c>
      <c r="B14" s="31" t="s">
        <v>627</v>
      </c>
      <c r="C14" s="31" t="s">
        <v>628</v>
      </c>
      <c r="D14" s="31" t="s">
        <v>602</v>
      </c>
      <c r="E14" s="31" t="s">
        <v>603</v>
      </c>
      <c r="F14" s="32" t="n">
        <v>240</v>
      </c>
      <c r="G14" s="33" t="n">
        <v>0.741666666666667</v>
      </c>
      <c r="H14" s="33" t="n">
        <v>0.8875</v>
      </c>
      <c r="I14" s="36" t="n">
        <v>2.83008333333333</v>
      </c>
      <c r="J14" s="37" t="n">
        <v>77.3003125</v>
      </c>
    </row>
    <row r="15" customFormat="false" ht="15" hidden="false" customHeight="false" outlineLevel="0" collapsed="false">
      <c r="A15" s="26" t="n">
        <v>13</v>
      </c>
      <c r="B15" s="27" t="s">
        <v>629</v>
      </c>
      <c r="C15" s="27" t="s">
        <v>630</v>
      </c>
      <c r="D15" s="27" t="s">
        <v>613</v>
      </c>
      <c r="E15" s="27" t="s">
        <v>614</v>
      </c>
      <c r="F15" s="28" t="n">
        <v>198</v>
      </c>
      <c r="G15" s="29" t="n">
        <v>0.727272727272727</v>
      </c>
      <c r="H15" s="29" t="n">
        <v>0.898989898989899</v>
      </c>
      <c r="I15" s="34" t="n">
        <v>2.82308080808081</v>
      </c>
      <c r="J15" s="35" t="n">
        <v>76.6976641414141</v>
      </c>
    </row>
    <row r="16" customFormat="false" ht="15" hidden="false" customHeight="false" outlineLevel="0" collapsed="false">
      <c r="A16" s="30" t="n">
        <v>14</v>
      </c>
      <c r="B16" s="31" t="s">
        <v>631</v>
      </c>
      <c r="C16" s="31" t="s">
        <v>632</v>
      </c>
      <c r="D16" s="31" t="s">
        <v>613</v>
      </c>
      <c r="E16" s="31" t="s">
        <v>603</v>
      </c>
      <c r="F16" s="32" t="n">
        <v>410</v>
      </c>
      <c r="G16" s="33" t="n">
        <v>0.724390243902439</v>
      </c>
      <c r="H16" s="33" t="n">
        <v>0.875609756097561</v>
      </c>
      <c r="I16" s="36" t="n">
        <v>2.84636585365854</v>
      </c>
      <c r="J16" s="37" t="n">
        <v>76.0275304878049</v>
      </c>
    </row>
    <row r="17" customFormat="false" ht="15" hidden="false" customHeight="false" outlineLevel="0" collapsed="false">
      <c r="A17" s="26" t="n">
        <v>15</v>
      </c>
      <c r="B17" s="27" t="s">
        <v>633</v>
      </c>
      <c r="C17" s="27" t="s">
        <v>634</v>
      </c>
      <c r="D17" s="27" t="s">
        <v>602</v>
      </c>
      <c r="E17" s="27" t="s">
        <v>614</v>
      </c>
      <c r="F17" s="28" t="n">
        <v>267</v>
      </c>
      <c r="G17" s="29" t="n">
        <v>0.719101123595506</v>
      </c>
      <c r="H17" s="29" t="n">
        <v>0.880149812734082</v>
      </c>
      <c r="I17" s="34" t="n">
        <v>2.85415730337079</v>
      </c>
      <c r="J17" s="35" t="n">
        <v>75.8529026217228</v>
      </c>
    </row>
    <row r="18" customFormat="false" ht="15" hidden="false" customHeight="false" outlineLevel="0" collapsed="false">
      <c r="A18" s="30" t="n">
        <v>16</v>
      </c>
      <c r="B18" s="31" t="s">
        <v>635</v>
      </c>
      <c r="C18" s="31" t="s">
        <v>636</v>
      </c>
      <c r="D18" s="31" t="s">
        <v>613</v>
      </c>
      <c r="E18" s="31" t="s">
        <v>606</v>
      </c>
      <c r="F18" s="32" t="n">
        <v>427</v>
      </c>
      <c r="G18" s="33" t="n">
        <v>0.718969555035129</v>
      </c>
      <c r="H18" s="33" t="n">
        <v>0.892271662763466</v>
      </c>
      <c r="I18" s="36" t="n">
        <v>2.76892271662763</v>
      </c>
      <c r="J18" s="37" t="n">
        <v>75.828425058548</v>
      </c>
    </row>
    <row r="19" customFormat="false" ht="15" hidden="false" customHeight="false" outlineLevel="0" collapsed="false">
      <c r="A19" s="26" t="n">
        <v>17</v>
      </c>
      <c r="B19" s="27" t="s">
        <v>637</v>
      </c>
      <c r="C19" s="27" t="s">
        <v>638</v>
      </c>
      <c r="D19" s="27" t="s">
        <v>613</v>
      </c>
      <c r="E19" s="27" t="s">
        <v>67</v>
      </c>
      <c r="F19" s="28" t="n">
        <v>291</v>
      </c>
      <c r="G19" s="29" t="n">
        <v>0.714776632302406</v>
      </c>
      <c r="H19" s="29" t="n">
        <v>0.855670103092784</v>
      </c>
      <c r="I19" s="34" t="n">
        <v>2.81233676975945</v>
      </c>
      <c r="J19" s="35" t="n">
        <v>74.8246134020618</v>
      </c>
    </row>
    <row r="20" customFormat="false" ht="15" hidden="false" customHeight="false" outlineLevel="0" collapsed="false">
      <c r="A20" s="30" t="n">
        <v>18</v>
      </c>
      <c r="B20" s="31" t="s">
        <v>639</v>
      </c>
      <c r="C20" s="31" t="s">
        <v>640</v>
      </c>
      <c r="D20" s="31" t="s">
        <v>602</v>
      </c>
      <c r="E20" s="31" t="s">
        <v>603</v>
      </c>
      <c r="F20" s="32" t="n">
        <v>101</v>
      </c>
      <c r="G20" s="33" t="n">
        <v>0.673267326732673</v>
      </c>
      <c r="H20" s="33" t="n">
        <v>0.881188118811881</v>
      </c>
      <c r="I20" s="36" t="n">
        <v>2.90683168316832</v>
      </c>
      <c r="J20" s="37" t="n">
        <v>73.3263613861386</v>
      </c>
    </row>
    <row r="21" customFormat="false" ht="15" hidden="false" customHeight="false" outlineLevel="0" collapsed="false">
      <c r="A21" s="26" t="n">
        <v>19</v>
      </c>
      <c r="B21" s="27" t="s">
        <v>641</v>
      </c>
      <c r="C21" s="27" t="s">
        <v>642</v>
      </c>
      <c r="D21" s="27" t="s">
        <v>613</v>
      </c>
      <c r="E21" s="27" t="s">
        <v>603</v>
      </c>
      <c r="F21" s="28" t="n">
        <v>388</v>
      </c>
      <c r="G21" s="29" t="n">
        <v>0.688144329896907</v>
      </c>
      <c r="H21" s="29" t="n">
        <v>0.845360824742268</v>
      </c>
      <c r="I21" s="34" t="n">
        <v>2.86466494845361</v>
      </c>
      <c r="J21" s="35" t="n">
        <v>73.1651739690722</v>
      </c>
    </row>
    <row r="22" customFormat="false" ht="15" hidden="false" customHeight="false" outlineLevel="0" collapsed="false">
      <c r="A22" s="30" t="n">
        <v>20</v>
      </c>
      <c r="B22" s="31" t="s">
        <v>643</v>
      </c>
      <c r="C22" s="31" t="s">
        <v>644</v>
      </c>
      <c r="D22" s="31" t="s">
        <v>613</v>
      </c>
      <c r="E22" s="31" t="s">
        <v>606</v>
      </c>
      <c r="F22" s="32" t="n">
        <v>252</v>
      </c>
      <c r="G22" s="33" t="n">
        <v>0.686507936507937</v>
      </c>
      <c r="H22" s="33" t="n">
        <v>0.849206349206349</v>
      </c>
      <c r="I22" s="36" t="n">
        <v>2.83726190476191</v>
      </c>
      <c r="J22" s="37" t="n">
        <v>73.0603670634921</v>
      </c>
    </row>
    <row r="23" customFormat="false" ht="15" hidden="false" customHeight="false" outlineLevel="0" collapsed="false">
      <c r="A23" s="26" t="n">
        <v>21</v>
      </c>
      <c r="B23" s="27" t="s">
        <v>645</v>
      </c>
      <c r="C23" s="27" t="s">
        <v>646</v>
      </c>
      <c r="D23" s="27" t="s">
        <v>602</v>
      </c>
      <c r="E23" s="27" t="s">
        <v>614</v>
      </c>
      <c r="F23" s="28" t="n">
        <v>213</v>
      </c>
      <c r="G23" s="29" t="n">
        <v>0.685446009389671</v>
      </c>
      <c r="H23" s="29" t="n">
        <v>0.849765258215963</v>
      </c>
      <c r="I23" s="34" t="n">
        <v>2.82765258215962</v>
      </c>
      <c r="J23" s="35" t="n">
        <v>72.9745892018779</v>
      </c>
    </row>
    <row r="24" customFormat="false" ht="15" hidden="false" customHeight="false" outlineLevel="0" collapsed="false">
      <c r="A24" s="30" t="n">
        <v>22</v>
      </c>
      <c r="B24" s="31" t="s">
        <v>647</v>
      </c>
      <c r="C24" s="31" t="s">
        <v>648</v>
      </c>
      <c r="D24" s="31" t="s">
        <v>613</v>
      </c>
      <c r="E24" s="31" t="s">
        <v>606</v>
      </c>
      <c r="F24" s="32" t="n">
        <v>316</v>
      </c>
      <c r="G24" s="33" t="n">
        <v>0.661392405063291</v>
      </c>
      <c r="H24" s="33" t="n">
        <v>0.860759493670886</v>
      </c>
      <c r="I24" s="36" t="n">
        <v>2.79927215189873</v>
      </c>
      <c r="J24" s="37" t="n">
        <v>71.6998022151899</v>
      </c>
    </row>
    <row r="25" customFormat="false" ht="15" hidden="false" customHeight="false" outlineLevel="0" collapsed="false">
      <c r="A25" s="26" t="n">
        <v>23</v>
      </c>
      <c r="B25" s="27" t="s">
        <v>649</v>
      </c>
      <c r="C25" s="27" t="s">
        <v>650</v>
      </c>
      <c r="D25" s="27" t="s">
        <v>71</v>
      </c>
      <c r="E25" s="27" t="s">
        <v>614</v>
      </c>
      <c r="F25" s="28" t="n">
        <v>235</v>
      </c>
      <c r="G25" s="29" t="n">
        <v>0.646808510638298</v>
      </c>
      <c r="H25" s="29" t="n">
        <v>0.846808510638298</v>
      </c>
      <c r="I25" s="34" t="n">
        <v>2.78987234042553</v>
      </c>
      <c r="J25" s="35" t="n">
        <v>70.4407446808511</v>
      </c>
    </row>
    <row r="26" customFormat="false" ht="15" hidden="false" customHeight="false" outlineLevel="0" collapsed="false">
      <c r="A26" s="30" t="n">
        <v>24</v>
      </c>
      <c r="B26" s="31" t="s">
        <v>651</v>
      </c>
      <c r="C26" s="31" t="s">
        <v>652</v>
      </c>
      <c r="D26" s="31" t="s">
        <v>71</v>
      </c>
      <c r="E26" s="31" t="s">
        <v>603</v>
      </c>
      <c r="F26" s="32" t="n">
        <v>213</v>
      </c>
      <c r="G26" s="33" t="n">
        <v>0.643192488262911</v>
      </c>
      <c r="H26" s="33" t="n">
        <v>0.830985915492958</v>
      </c>
      <c r="I26" s="36" t="n">
        <v>2.77253521126761</v>
      </c>
      <c r="J26" s="37" t="n">
        <v>69.7632042253521</v>
      </c>
    </row>
    <row r="27" customFormat="false" ht="15" hidden="false" customHeight="false" outlineLevel="0" collapsed="false">
      <c r="A27" s="26" t="n">
        <v>25</v>
      </c>
      <c r="B27" s="27" t="s">
        <v>653</v>
      </c>
      <c r="C27" s="27" t="s">
        <v>654</v>
      </c>
      <c r="D27" s="27" t="s">
        <v>71</v>
      </c>
      <c r="E27" s="27" t="s">
        <v>603</v>
      </c>
      <c r="F27" s="28" t="n">
        <v>582</v>
      </c>
      <c r="G27" s="29" t="n">
        <v>0.634020618556701</v>
      </c>
      <c r="H27" s="29" t="n">
        <v>0.853951890034364</v>
      </c>
      <c r="I27" s="34" t="n">
        <v>2.736735395189</v>
      </c>
      <c r="J27" s="35" t="n">
        <v>69.6527920962199</v>
      </c>
    </row>
    <row r="28" customFormat="false" ht="15" hidden="false" customHeight="false" outlineLevel="0" collapsed="false">
      <c r="A28" s="30" t="n">
        <v>26</v>
      </c>
      <c r="B28" s="31" t="s">
        <v>56</v>
      </c>
      <c r="C28" s="31" t="s">
        <v>61</v>
      </c>
      <c r="D28" s="31" t="s">
        <v>71</v>
      </c>
      <c r="E28" s="31" t="s">
        <v>67</v>
      </c>
      <c r="F28" s="32" t="n">
        <v>375</v>
      </c>
      <c r="G28" s="33" t="n">
        <v>0.634666666666667</v>
      </c>
      <c r="H28" s="33" t="n">
        <v>0.842666666666667</v>
      </c>
      <c r="I28" s="36" t="n">
        <v>2.74474666666667</v>
      </c>
      <c r="J28" s="37" t="n">
        <v>69.4394666666667</v>
      </c>
    </row>
    <row r="29" customFormat="false" ht="15" hidden="false" customHeight="false" outlineLevel="0" collapsed="false">
      <c r="A29" s="26" t="n">
        <v>27</v>
      </c>
      <c r="B29" s="27" t="s">
        <v>655</v>
      </c>
      <c r="C29" s="27" t="s">
        <v>656</v>
      </c>
      <c r="D29" s="27" t="s">
        <v>613</v>
      </c>
      <c r="E29" s="27" t="s">
        <v>614</v>
      </c>
      <c r="F29" s="28" t="n">
        <v>210</v>
      </c>
      <c r="G29" s="29" t="n">
        <v>0.633333333333333</v>
      </c>
      <c r="H29" s="29" t="n">
        <v>0.842857142857143</v>
      </c>
      <c r="I29" s="34" t="n">
        <v>2.74009523809524</v>
      </c>
      <c r="J29" s="35" t="n">
        <v>69.3467857142857</v>
      </c>
    </row>
    <row r="30" customFormat="false" ht="15" hidden="false" customHeight="false" outlineLevel="0" collapsed="false">
      <c r="A30" s="30" t="n">
        <v>28</v>
      </c>
      <c r="B30" s="31" t="s">
        <v>657</v>
      </c>
      <c r="C30" s="31" t="s">
        <v>658</v>
      </c>
      <c r="D30" s="31" t="s">
        <v>613</v>
      </c>
      <c r="E30" s="31" t="s">
        <v>603</v>
      </c>
      <c r="F30" s="32" t="n">
        <v>246</v>
      </c>
      <c r="G30" s="33" t="n">
        <v>0.617886178861789</v>
      </c>
      <c r="H30" s="33" t="n">
        <v>0.817073170731707</v>
      </c>
      <c r="I30" s="36" t="n">
        <v>2.82922764227642</v>
      </c>
      <c r="J30" s="37" t="n">
        <v>68.1096036585366</v>
      </c>
    </row>
    <row r="31" customFormat="false" ht="15" hidden="false" customHeight="false" outlineLevel="0" collapsed="false">
      <c r="A31" s="26" t="n">
        <v>29</v>
      </c>
      <c r="B31" s="27" t="s">
        <v>659</v>
      </c>
      <c r="C31" s="27" t="s">
        <v>660</v>
      </c>
      <c r="D31" s="27" t="s">
        <v>71</v>
      </c>
      <c r="E31" s="27" t="s">
        <v>67</v>
      </c>
      <c r="F31" s="28" t="n">
        <v>268</v>
      </c>
      <c r="G31" s="29" t="n">
        <v>0.58955223880597</v>
      </c>
      <c r="H31" s="29" t="n">
        <v>0.809701492537313</v>
      </c>
      <c r="I31" s="34" t="n">
        <v>2.74182835820896</v>
      </c>
      <c r="J31" s="35" t="n">
        <v>65.8975279850746</v>
      </c>
    </row>
    <row r="32" customFormat="false" ht="15" hidden="false" customHeight="false" outlineLevel="0" collapsed="false">
      <c r="A32" s="30" t="n">
        <v>30</v>
      </c>
      <c r="B32" s="31" t="s">
        <v>661</v>
      </c>
      <c r="C32" s="31" t="s">
        <v>662</v>
      </c>
      <c r="D32" s="31" t="s">
        <v>71</v>
      </c>
      <c r="E32" s="31" t="s">
        <v>606</v>
      </c>
      <c r="F32" s="32" t="n">
        <v>160</v>
      </c>
      <c r="G32" s="33" t="n">
        <v>0.525</v>
      </c>
      <c r="H32" s="33" t="n">
        <v>0.75625</v>
      </c>
      <c r="I32" s="36" t="n">
        <v>2.714</v>
      </c>
      <c r="J32" s="37" t="n">
        <v>60.58375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2026-09-19T14:44:53Z</dcterms:created>
  <dc:creator>openpyxl</dc:creator>
  <dc:description/>
  <dc:language>en-US</dc:language>
  <cp:lastModifiedBy/>
  <dcterms:modified xsi:type="dcterms:W3CDTF">2026-09-19T14:44:53Z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