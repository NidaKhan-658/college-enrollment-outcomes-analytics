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ta Model" sheetId="2" state="visible" r:id="rId4"/>
    <sheet name="Data Dictionary" sheetId="3" state="visible" r:id="rId5"/>
    <sheet name="Data Mapping" sheetId="4" state="visible" r:id="rId6"/>
    <sheet name="Reconciliation" sheetId="5" state="visible" r:id="rId7"/>
  </sheets>
  <definedNames>
    <definedName function="false" hidden="true" localSheetId="2" name="_xlnm._FilterDatabase" vbProcedure="false">'Data Dictionary'!$A$1:$J$32</definedName>
    <definedName function="false" hidden="true" localSheetId="3" name="_xlnm._FilterDatabase" vbProcedure="false">'Data Mapping'!$A$1:$I$36</definedName>
    <definedName function="false" hidden="true" localSheetId="1" name="_xlnm._FilterDatabase" vbProcedure="false">'Data Model'!$A$1:$F$4</definedName>
    <definedName function="false" hidden="true" localSheetId="4" name="_xlnm._FilterDatabase" vbProcedure="false">Reconciliation!$A$1:$G$18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<sst xmlns="http://schemas.openxmlformats.org/spreadsheetml/2006/main" count="701" uniqueCount="296">
  <si>
    <t xml:space="preserve">Enrollment &amp; Outcomes Analytics - Requirements Workbook (baseline v1.0)</t>
  </si>
  <si>
    <t xml:space="preserve">Step 2 of the project plan. Companion to BRD v1.0. All data is synthetic (seeded generator: data/generate_data.py, extract v1.0).</t>
  </si>
  <si>
    <t xml:space="preserve">Sheets in this version</t>
  </si>
  <si>
    <t xml:space="preserve">Data Model - tables, grain, keys and Tableau relationships</t>
  </si>
  <si>
    <t xml:space="preserve">Data Dictionary - every column: type, meaning, allowed values, nulls, distinct count (profiled from the extract)</t>
  </si>
  <si>
    <t xml:space="preserve">Data Mapping - source column to Tableau field, with role, transformation, validation and null handling</t>
  </si>
  <si>
    <t xml:space="preserve">Reconciliation - expected counts from the extract; enter Tableau values in the blue cells and Match? checks them</t>
  </si>
  <si>
    <t xml:space="preserve">Added in later steps</t>
  </si>
  <si>
    <t xml:space="preserve">User Stories, KPI Definitions, LOD vs Table Calc reference values, Traceability, Test Cases (Steps 3-7); Change Request log and funding/aid fields (Step 6, CR-001)</t>
  </si>
  <si>
    <t xml:space="preserve">Legend</t>
  </si>
  <si>
    <t xml:space="preserve">Blue font = cell for you to fill in. Status columns have dropdowns.</t>
  </si>
  <si>
    <t xml:space="preserve">Table</t>
  </si>
  <si>
    <t xml:space="preserve">Grain</t>
  </si>
  <si>
    <t xml:space="preserve">Primary key</t>
  </si>
  <si>
    <t xml:space="preserve">Foreign key(s)</t>
  </si>
  <si>
    <t xml:space="preserve">Rows</t>
  </si>
  <si>
    <t xml:space="preserve">Notes</t>
  </si>
  <si>
    <t xml:space="preserve">dim_college</t>
  </si>
  <si>
    <t xml:space="preserve">One row per college</t>
  </si>
  <si>
    <t xml:space="preserve">college_id</t>
  </si>
  <si>
    <t xml:space="preserve">-</t>
  </si>
  <si>
    <t xml:space="preserve">Hub table for all relationships</t>
  </si>
  <si>
    <t xml:space="preserve">fact_applications</t>
  </si>
  <si>
    <t xml:space="preserve">One row per application (applicant x college x year)</t>
  </si>
  <si>
    <t xml:space="preserve">application_id</t>
  </si>
  <si>
    <t xml:space="preserve">Admissions funnel and discovery channel</t>
  </si>
  <si>
    <t xml:space="preserve">fact_students</t>
  </si>
  <si>
    <t xml:space="preserve">One row per enrolled student (new entrant)</t>
  </si>
  <si>
    <t xml:space="preserve">student_id</t>
  </si>
  <si>
    <t xml:space="preserve">college_id; application_id (lineage only)</t>
  </si>
  <si>
    <t xml:space="preserve">Enrollment status and outcomes; discovery_channel copied from the application</t>
  </si>
  <si>
    <t xml:space="preserve">Tableau relationships (Data Source tab, Relationships model)</t>
  </si>
  <si>
    <t xml:space="preserve">Left</t>
  </si>
  <si>
    <t xml:space="preserve">Right</t>
  </si>
  <si>
    <t xml:space="preserve">Cardinality</t>
  </si>
  <si>
    <t xml:space="preserve">dim_college.college_id</t>
  </si>
  <si>
    <t xml:space="preserve">fact_applications.college_id</t>
  </si>
  <si>
    <t xml:space="preserve">One to many</t>
  </si>
  <si>
    <t xml:space="preserve">fact_students.college_id</t>
  </si>
  <si>
    <t xml:space="preserve">Design note</t>
  </si>
  <si>
    <t xml:space="preserve">Students and applications are not related to each other in Tableau (that would create a cycle with dim_college). Channel-versus-outcome analysis uses discovery_channel stored on fact_students; application_id is kept for lineage.</t>
  </si>
  <si>
    <t xml:space="preserve">Column</t>
  </si>
  <si>
    <t xml:space="preserve">Data type</t>
  </si>
  <si>
    <t xml:space="preserve">Description</t>
  </si>
  <si>
    <t xml:space="preserve">Allowed values / rule</t>
  </si>
  <si>
    <t xml:space="preserve">Nulls allowed</t>
  </si>
  <si>
    <t xml:space="preserve">Actual nulls</t>
  </si>
  <si>
    <t xml:space="preserve">Distinct values</t>
  </si>
  <si>
    <t xml:space="preserve">Example</t>
  </si>
  <si>
    <t xml:space="preserve">Origin</t>
  </si>
  <si>
    <t xml:space="preserve">Text</t>
  </si>
  <si>
    <t xml:space="preserve">Unique college identifier (C01-C30)</t>
  </si>
  <si>
    <t xml:space="preserve">No</t>
  </si>
  <si>
    <t xml:space="preserve">C01</t>
  </si>
  <si>
    <t xml:space="preserve">Baseline</t>
  </si>
  <si>
    <t xml:space="preserve">college_name</t>
  </si>
  <si>
    <t xml:space="preserve">Fictional college name</t>
  </si>
  <si>
    <t xml:space="preserve">No real institutions</t>
  </si>
  <si>
    <t xml:space="preserve">Alder Institute</t>
  </si>
  <si>
    <t xml:space="preserve">state</t>
  </si>
  <si>
    <t xml:space="preserve">U.S. state postal code of the college location</t>
  </si>
  <si>
    <t xml:space="preserve">PA</t>
  </si>
  <si>
    <t xml:space="preserve">region</t>
  </si>
  <si>
    <t xml:space="preserve">Region of the college: Northeast, Midwest, South, West</t>
  </si>
  <si>
    <t xml:space="preserve">Northeast</t>
  </si>
  <si>
    <t xml:space="preserve">control_type</t>
  </si>
  <si>
    <t xml:space="preserve">Institution ownership</t>
  </si>
  <si>
    <t xml:space="preserve">Public / Private Nonprofit / Private For-Profit</t>
  </si>
  <si>
    <t xml:space="preserve">Private For-Profit</t>
  </si>
  <si>
    <t xml:space="preserve">size_tier</t>
  </si>
  <si>
    <t xml:space="preserve">Size band from average annual application volume</t>
  </si>
  <si>
    <t xml:space="preserve">Small / Medium / Large</t>
  </si>
  <si>
    <t xml:space="preserve">Large</t>
  </si>
  <si>
    <t xml:space="preserve">selectivity_tier</t>
  </si>
  <si>
    <t xml:space="preserve">Selectivity band from base admit rate</t>
  </si>
  <si>
    <t xml:space="preserve">Highly Selective / Moderately Selective / Open Admission</t>
  </si>
  <si>
    <t xml:space="preserve">Open Admission</t>
  </si>
  <si>
    <t xml:space="preserve">Unique application identifier (A000001 onward)</t>
  </si>
  <si>
    <t xml:space="preserve">A000001</t>
  </si>
  <si>
    <t xml:space="preserve">College applied to</t>
  </si>
  <si>
    <t xml:space="preserve">Foreign key to dim_college</t>
  </si>
  <si>
    <t xml:space="preserve">application_year</t>
  </si>
  <si>
    <t xml:space="preserve">Whole number</t>
  </si>
  <si>
    <t xml:space="preserve">Fall entry year applied for (equals cohort_year if enrolled)</t>
  </si>
  <si>
    <t xml:space="preserve">2018-2025</t>
  </si>
  <si>
    <t xml:space="preserve">2018</t>
  </si>
  <si>
    <t xml:space="preserve">discovery_channel</t>
  </si>
  <si>
    <t xml:space="preserve">How the applicant first learned about the college (self-reported, one per applicant)</t>
  </si>
  <si>
    <t xml:space="preserve">8 values</t>
  </si>
  <si>
    <t xml:space="preserve">Campus Visit / Open House</t>
  </si>
  <si>
    <t xml:space="preserve">applicant_state</t>
  </si>
  <si>
    <t xml:space="preserve">Applicant home state (postal code)</t>
  </si>
  <si>
    <t xml:space="preserve">intended_field</t>
  </si>
  <si>
    <t xml:space="preserve">Field of study the applicant intended at application</t>
  </si>
  <si>
    <t xml:space="preserve">10 values</t>
  </si>
  <si>
    <t xml:space="preserve">Physical Sciences &amp; Math</t>
  </si>
  <si>
    <t xml:space="preserve">admitted_flag</t>
  </si>
  <si>
    <t xml:space="preserve">1 if the applicant was admitted, else 0</t>
  </si>
  <si>
    <t xml:space="preserve">0 or 1</t>
  </si>
  <si>
    <t xml:space="preserve">1</t>
  </si>
  <si>
    <t xml:space="preserve">enrolled_flag</t>
  </si>
  <si>
    <t xml:space="preserve">1 if the admitted applicant enrolled, else 0</t>
  </si>
  <si>
    <t xml:space="preserve">0 or 1; 1 only when admitted_flag = 1</t>
  </si>
  <si>
    <t xml:space="preserve">0</t>
  </si>
  <si>
    <t xml:space="preserve">Unique student identifier (S000001 onward)</t>
  </si>
  <si>
    <t xml:space="preserve">S000001</t>
  </si>
  <si>
    <t xml:space="preserve">Application that produced this student</t>
  </si>
  <si>
    <t xml:space="preserve">Lineage key; unique</t>
  </si>
  <si>
    <t xml:space="preserve">A000018</t>
  </si>
  <si>
    <t xml:space="preserve">Channel copied from the application (denormalized)</t>
  </si>
  <si>
    <t xml:space="preserve">College Website</t>
  </si>
  <si>
    <t xml:space="preserve">College attended</t>
  </si>
  <si>
    <t xml:space="preserve">cohort_year</t>
  </si>
  <si>
    <t xml:space="preserve">Fall entry year of the student</t>
  </si>
  <si>
    <t xml:space="preserve">field_of_study</t>
  </si>
  <si>
    <t xml:space="preserve">Field of study at enrollment (can differ from intended_field)</t>
  </si>
  <si>
    <t xml:space="preserve">Arts &amp; Humanities</t>
  </si>
  <si>
    <t xml:space="preserve">stem_flag</t>
  </si>
  <si>
    <t xml:space="preserve">STEM or Non-STEM, derived from field_of_study</t>
  </si>
  <si>
    <t xml:space="preserve">STEM / Non-STEM</t>
  </si>
  <si>
    <t xml:space="preserve">Non-STEM</t>
  </si>
  <si>
    <t xml:space="preserve">family_income_band</t>
  </si>
  <si>
    <t xml:space="preserve">Household income band</t>
  </si>
  <si>
    <t xml:space="preserve">5 bands</t>
  </si>
  <si>
    <t xml:space="preserve">Under $30K</t>
  </si>
  <si>
    <t xml:space="preserve">first_gen_flag</t>
  </si>
  <si>
    <t xml:space="preserve">1 if first-generation college student</t>
  </si>
  <si>
    <t xml:space="preserve">in_state_flag</t>
  </si>
  <si>
    <t xml:space="preserve">1 if applicant state equals college state</t>
  </si>
  <si>
    <t xml:space="preserve">hs_gpa</t>
  </si>
  <si>
    <t xml:space="preserve">Decimal</t>
  </si>
  <si>
    <t xml:space="preserve">High-school GPA at entry</t>
  </si>
  <si>
    <t xml:space="preserve">2.00-4.00</t>
  </si>
  <si>
    <t xml:space="preserve">2.92</t>
  </si>
  <si>
    <t xml:space="preserve">enrollment_status</t>
  </si>
  <si>
    <t xml:space="preserve">Status as of 2026-08-31</t>
  </si>
  <si>
    <t xml:space="preserve">Graduated / Dropped Out / Enrolled (Active)</t>
  </si>
  <si>
    <t xml:space="preserve">Dropped Out</t>
  </si>
  <si>
    <t xml:space="preserve">graduation_year</t>
  </si>
  <si>
    <t xml:space="preserve">Whole number (nullable)</t>
  </si>
  <si>
    <t xml:space="preserve">Year of graduation (events dated May of that year)</t>
  </si>
  <si>
    <t xml:space="preserve">Null unless Graduated</t>
  </si>
  <si>
    <t xml:space="preserve">Yes</t>
  </si>
  <si>
    <t xml:space="preserve">2022</t>
  </si>
  <si>
    <t xml:space="preserve">dropout_year</t>
  </si>
  <si>
    <t xml:space="preserve">Year the student left without a degree</t>
  </si>
  <si>
    <t xml:space="preserve">Null unless Dropped Out</t>
  </si>
  <si>
    <t xml:space="preserve">2019</t>
  </si>
  <si>
    <t xml:space="preserve">years_to_outcome</t>
  </si>
  <si>
    <t xml:space="preserve">Years from entry to graduation or dropout</t>
  </si>
  <si>
    <t xml:space="preserve">Null when Enrolled (Active)</t>
  </si>
  <si>
    <t xml:space="preserve">cumulative_gpa</t>
  </si>
  <si>
    <t xml:space="preserve">Cumulative GPA at outcome or as-of date</t>
  </si>
  <si>
    <t xml:space="preserve">0.50-4.00</t>
  </si>
  <si>
    <t xml:space="preserve">1.63</t>
  </si>
  <si>
    <t xml:space="preserve">Source table</t>
  </si>
  <si>
    <t xml:space="preserve">Source column</t>
  </si>
  <si>
    <t xml:space="preserve">Tableau field name</t>
  </si>
  <si>
    <t xml:space="preserve">Tableau data type</t>
  </si>
  <si>
    <t xml:space="preserve">Role</t>
  </si>
  <si>
    <t xml:space="preserve">Transformation / rule</t>
  </si>
  <si>
    <t xml:space="preserve">Validation</t>
  </si>
  <si>
    <t xml:space="preserve">Null handling</t>
  </si>
  <si>
    <t xml:space="preserve">Status</t>
  </si>
  <si>
    <t xml:space="preserve">College ID</t>
  </si>
  <si>
    <t xml:space="preserve">String</t>
  </si>
  <si>
    <t xml:space="preserve">Dimension</t>
  </si>
  <si>
    <t xml:space="preserve">None</t>
  </si>
  <si>
    <t xml:space="preserve">Not null; unique</t>
  </si>
  <si>
    <t xml:space="preserve">Not expected</t>
  </si>
  <si>
    <t xml:space="preserve">Not started</t>
  </si>
  <si>
    <t xml:space="preserve">College</t>
  </si>
  <si>
    <t xml:space="preserve">Not null</t>
  </si>
  <si>
    <t xml:space="preserve">State</t>
  </si>
  <si>
    <t xml:space="preserve">String (geo role)</t>
  </si>
  <si>
    <t xml:space="preserve">Assign geographic role State/Province</t>
  </si>
  <si>
    <t xml:space="preserve">Valid U.S. state postal code</t>
  </si>
  <si>
    <t xml:space="preserve">Excluded from map only</t>
  </si>
  <si>
    <t xml:space="preserve">Region</t>
  </si>
  <si>
    <t xml:space="preserve">Control Type</t>
  </si>
  <si>
    <t xml:space="preserve">Size Tier</t>
  </si>
  <si>
    <t xml:space="preserve">Selectivity Tier</t>
  </si>
  <si>
    <t xml:space="preserve">Application ID</t>
  </si>
  <si>
    <t xml:space="preserve">Application Year</t>
  </si>
  <si>
    <t xml:space="preserve">Number (whole)</t>
  </si>
  <si>
    <t xml:space="preserve">Convert to Dimension (discrete)</t>
  </si>
  <si>
    <t xml:space="preserve">n/a</t>
  </si>
  <si>
    <t xml:space="preserve">Discovery Channel</t>
  </si>
  <si>
    <t xml:space="preserve">One of 8 allowed values</t>
  </si>
  <si>
    <t xml:space="preserve">Applicant State</t>
  </si>
  <si>
    <t xml:space="preserve">Valid postal code</t>
  </si>
  <si>
    <t xml:space="preserve">Intended Field</t>
  </si>
  <si>
    <t xml:space="preserve">Admitted Flag</t>
  </si>
  <si>
    <t xml:space="preserve">Measure</t>
  </si>
  <si>
    <t xml:space="preserve">Leave as Measure (SUM gives admits)</t>
  </si>
  <si>
    <t xml:space="preserve">Enrolled Flag</t>
  </si>
  <si>
    <t xml:space="preserve">Leave as Measure (SUM gives enrollments)</t>
  </si>
  <si>
    <t xml:space="preserve">0 or 1; 1 only if admitted</t>
  </si>
  <si>
    <t xml:space="preserve">Student ID</t>
  </si>
  <si>
    <t xml:space="preserve">Unique; lineage only</t>
  </si>
  <si>
    <t xml:space="preserve">Cohort Year</t>
  </si>
  <si>
    <t xml:space="preserve">2018-2025; drives Completed Cohort rule</t>
  </si>
  <si>
    <t xml:space="preserve">Field of Study</t>
  </si>
  <si>
    <t xml:space="preserve">STEM Flag</t>
  </si>
  <si>
    <t xml:space="preserve">Family Income Band</t>
  </si>
  <si>
    <t xml:space="preserve">First-Gen Flag</t>
  </si>
  <si>
    <t xml:space="preserve">In-State Flag</t>
  </si>
  <si>
    <t xml:space="preserve">HS GPA</t>
  </si>
  <si>
    <t xml:space="preserve">Number (decimal)</t>
  </si>
  <si>
    <t xml:space="preserve">Number (decimal), 2 places</t>
  </si>
  <si>
    <t xml:space="preserve">Enrollment Status</t>
  </si>
  <si>
    <t xml:space="preserve">None (values used as-is)</t>
  </si>
  <si>
    <t xml:space="preserve">One of 3 allowed values</t>
  </si>
  <si>
    <t xml:space="preserve">Graduation Year</t>
  </si>
  <si>
    <t xml:space="preserve">Convert to Dimension; keep as whole number</t>
  </si>
  <si>
    <t xml:space="preserve">Null unless status = Graduated</t>
  </si>
  <si>
    <t xml:space="preserve">Nulls expected for non-graduates</t>
  </si>
  <si>
    <t xml:space="preserve">Dropout Year</t>
  </si>
  <si>
    <t xml:space="preserve">Null unless status = Dropped Out</t>
  </si>
  <si>
    <t xml:space="preserve">Nulls expected for non-dropouts</t>
  </si>
  <si>
    <t xml:space="preserve">Years to Outcome</t>
  </si>
  <si>
    <t xml:space="preserve">Convert to Dimension (discrete) for cohort-survival view</t>
  </si>
  <si>
    <t xml:space="preserve">1-6; null when Active</t>
  </si>
  <si>
    <t xml:space="preserve">Nulls expected for active students</t>
  </si>
  <si>
    <t xml:space="preserve">Cumulative GPA</t>
  </si>
  <si>
    <t xml:space="preserve">(derived)</t>
  </si>
  <si>
    <t xml:space="preserve">Is Graduate</t>
  </si>
  <si>
    <t xml:space="preserve">IF [Enrollment Status] = "Graduated" THEN 1 ELSE 0 END</t>
  </si>
  <si>
    <t xml:space="preserve">Result is 0 or 1</t>
  </si>
  <si>
    <t xml:space="preserve">Is Dropout</t>
  </si>
  <si>
    <t xml:space="preserve">IF [Enrollment Status] = "Dropped Out" THEN 1 ELSE 0 END</t>
  </si>
  <si>
    <t xml:space="preserve">Is Active</t>
  </si>
  <si>
    <t xml:space="preserve">IF [Enrollment Status] = "Enrolled (Active)" THEN 1 ELSE 0 END</t>
  </si>
  <si>
    <t xml:space="preserve">Is Graduate + Is Dropout + Is Active = 1</t>
  </si>
  <si>
    <t xml:space="preserve">Completed Cohort</t>
  </si>
  <si>
    <t xml:space="preserve">Boolean</t>
  </si>
  <si>
    <t xml:space="preserve">[Cohort Year] &lt;= [Last Complete Cohort]  (parameter, default 2020)</t>
  </si>
  <si>
    <t xml:space="preserve">TRUE for cohorts 2018-2020 at default</t>
  </si>
  <si>
    <t xml:space="preserve">ID</t>
  </si>
  <si>
    <t xml:space="preserve">Check</t>
  </si>
  <si>
    <t xml:space="preserve">Expected (from extract)</t>
  </si>
  <si>
    <t xml:space="preserve">Tableau actual (enter)</t>
  </si>
  <si>
    <t xml:space="preserve">Match?</t>
  </si>
  <si>
    <t xml:space="preserve">How to check in Tableau</t>
  </si>
  <si>
    <t xml:space="preserve">REC-01</t>
  </si>
  <si>
    <t xml:space="preserve">Colleges loaded</t>
  </si>
  <si>
    <t xml:space="preserve">Row count of dim_college (Number of Records)</t>
  </si>
  <si>
    <t xml:space="preserve">REC-02</t>
  </si>
  <si>
    <t xml:space="preserve">Applications loaded</t>
  </si>
  <si>
    <t xml:space="preserve">Number of Records for fact_applications</t>
  </si>
  <si>
    <t xml:space="preserve">REC-03</t>
  </si>
  <si>
    <t xml:space="preserve">Enrolled students loaded</t>
  </si>
  <si>
    <t xml:space="preserve">Number of Records for fact_students</t>
  </si>
  <si>
    <t xml:space="preserve">REC-04</t>
  </si>
  <si>
    <t xml:space="preserve">Applications with enrolled_flag = 1 equals student rows</t>
  </si>
  <si>
    <t xml:space="preserve">SUM of Enrolled Flag</t>
  </si>
  <si>
    <t xml:space="preserve">REC-05</t>
  </si>
  <si>
    <t xml:space="preserve">Admitted applications</t>
  </si>
  <si>
    <t xml:space="preserve">SUM of Admitted Flag</t>
  </si>
  <si>
    <t xml:space="preserve">REC-06</t>
  </si>
  <si>
    <t xml:space="preserve">Students with status Graduated</t>
  </si>
  <si>
    <t xml:space="preserve">Count of Student ID, filter Enrollment Status</t>
  </si>
  <si>
    <t xml:space="preserve">REC-07</t>
  </si>
  <si>
    <t xml:space="preserve">Students with status Dropped Out</t>
  </si>
  <si>
    <t xml:space="preserve">REC-08</t>
  </si>
  <si>
    <t xml:space="preserve">Students with status Enrolled (Active)</t>
  </si>
  <si>
    <t xml:space="preserve">REC-09</t>
  </si>
  <si>
    <t xml:space="preserve">Duplicate student_id values</t>
  </si>
  <si>
    <t xml:space="preserve">Count of Student ID minus Count Distinct of Student ID</t>
  </si>
  <si>
    <t xml:space="preserve">REC-10</t>
  </si>
  <si>
    <t xml:space="preserve">Distinct colleges appearing in students</t>
  </si>
  <si>
    <t xml:space="preserve">Count Distinct of College ID (students)</t>
  </si>
  <si>
    <t xml:space="preserve">REC-11</t>
  </si>
  <si>
    <t xml:space="preserve">Students in completed cohorts (2018-2020)</t>
  </si>
  <si>
    <t xml:space="preserve">Count of Student ID, Cohort Year &lt;= 2020</t>
  </si>
  <si>
    <t xml:space="preserve">REC-12</t>
  </si>
  <si>
    <t xml:space="preserve">Active students inside completed cohorts</t>
  </si>
  <si>
    <t xml:space="preserve">Count of Student ID, Cohort Year &lt;= 2020, status Active</t>
  </si>
  <si>
    <t xml:space="preserve">REC-13</t>
  </si>
  <si>
    <t xml:space="preserve">Distinct discovery channels</t>
  </si>
  <si>
    <t xml:space="preserve">Count Distinct of Discovery Channel</t>
  </si>
  <si>
    <t xml:space="preserve">REC-14</t>
  </si>
  <si>
    <t xml:space="preserve">Distinct fields of study</t>
  </si>
  <si>
    <t xml:space="preserve">Count Distinct of Field of Study</t>
  </si>
  <si>
    <t xml:space="preserve">REC-15</t>
  </si>
  <si>
    <t xml:space="preserve">Distinct cohort years</t>
  </si>
  <si>
    <t xml:space="preserve">Count Distinct of Cohort Year</t>
  </si>
  <si>
    <t xml:space="preserve">REC-16</t>
  </si>
  <si>
    <t xml:space="preserve">Enrolled applications not admitted (should be 0)</t>
  </si>
  <si>
    <t xml:space="preserve">Filter Enrolled Flag = 1 and Admitted Flag = 0</t>
  </si>
  <si>
    <t xml:space="preserve">REC-17</t>
  </si>
  <si>
    <t xml:space="preserve">Graduation Year nulls equal non-graduates</t>
  </si>
  <si>
    <t xml:space="preserve">Count of records where Graduation Year is Null</t>
  </si>
  <si>
    <t xml:space="preserve">Tie-out</t>
  </si>
  <si>
    <t xml:space="preserve">Graduated + Dropped Out + Active minus student rows (expected 0)</t>
  </si>
  <si>
    <t xml:space="preserve">Checks passed / entered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</si>
</sst>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7F9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7F9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36"/>
    <col collapsed="false" customWidth="true" hidden="false" outlineLevel="0" max="5" min="5" style="0" width="10"/>
    <col collapsed="false" customWidth="true" hidden="false" outlineLevel="0" max="6" min="6" style="0" width="60"/>
  </cols>
  <sheetData>
    <row r="1" customFormat="false" ht="30" hidden="false" customHeight="true" outlineLevel="0" collapsed="false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</row>
    <row r="2" customFormat="false" ht="15" hidden="false" customHeight="false" outlineLevel="0" collapsed="false">
      <c r="A2" s="5" t="s">
        <v>17</v>
      </c>
      <c r="B2" s="5" t="s">
        <v>18</v>
      </c>
      <c r="C2" s="5" t="s">
        <v>19</v>
      </c>
      <c r="D2" s="5" t="s">
        <v>20</v>
      </c>
      <c r="E2" s="5" t="n">
        <v>30</v>
      </c>
      <c r="F2" s="5" t="s">
        <v>21</v>
      </c>
    </row>
    <row r="3" customFormat="false" ht="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19</v>
      </c>
      <c r="E3" s="6" t="n">
        <v>92555</v>
      </c>
      <c r="F3" s="6" t="s">
        <v>25</v>
      </c>
    </row>
    <row r="4" customFormat="false" ht="23.85" hidden="false" customHeight="false" outlineLevel="0" collapsed="false">
      <c r="A4" s="5" t="s">
        <v>26</v>
      </c>
      <c r="B4" s="5" t="s">
        <v>27</v>
      </c>
      <c r="C4" s="5" t="s">
        <v>28</v>
      </c>
      <c r="D4" s="5" t="s">
        <v>29</v>
      </c>
      <c r="E4" s="5" t="n">
        <v>23121</v>
      </c>
      <c r="F4" s="5" t="s">
        <v>30</v>
      </c>
    </row>
    <row r="6" customFormat="false" ht="15" hidden="false" customHeight="false" outlineLevel="0" collapsed="false">
      <c r="A6" s="7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8" t="s">
        <v>34</v>
      </c>
    </row>
    <row r="8" customFormat="false" ht="15" hidden="false" customHeight="false" outlineLevel="0" collapsed="false">
      <c r="A8" s="5" t="s">
        <v>35</v>
      </c>
      <c r="B8" s="5" t="s">
        <v>36</v>
      </c>
      <c r="C8" s="5" t="s">
        <v>37</v>
      </c>
    </row>
    <row r="9" customFormat="false" ht="15" hidden="false" customHeight="false" outlineLevel="0" collapsed="false">
      <c r="A9" s="5" t="s">
        <v>35</v>
      </c>
      <c r="B9" s="5" t="s">
        <v>38</v>
      </c>
      <c r="C9" s="5" t="s">
        <v>37</v>
      </c>
    </row>
    <row r="11" customFormat="false" ht="15" hidden="false" customHeight="false" outlineLevel="0" collapsed="false">
      <c r="A11" s="7" t="s">
        <v>39</v>
      </c>
    </row>
    <row r="12" customFormat="false" ht="31.5" hidden="false" customHeight="true" outlineLevel="0" collapsed="false">
      <c r="A12" s="9" t="s">
        <v>40</v>
      </c>
      <c r="B12" s="9"/>
      <c r="C12" s="9"/>
      <c r="D12" s="9"/>
      <c r="E12" s="9"/>
      <c r="F12" s="9"/>
    </row>
  </sheetData>
  <autoFilter ref="A1:F4"/>
  <mergeCells count="1">
    <mergeCell ref="A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52"/>
    <col collapsed="false" customWidth="true" hidden="false" outlineLevel="0" max="5" min="5" style="0" width="42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26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11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</row>
    <row r="2" customFormat="false" ht="15" hidden="false" customHeight="false" outlineLevel="0" collapsed="false">
      <c r="A2" s="5" t="s">
        <v>17</v>
      </c>
      <c r="B2" s="5" t="s">
        <v>19</v>
      </c>
      <c r="C2" s="5" t="s">
        <v>50</v>
      </c>
      <c r="D2" s="5" t="s">
        <v>51</v>
      </c>
      <c r="E2" s="5" t="s">
        <v>13</v>
      </c>
      <c r="F2" s="5" t="s">
        <v>52</v>
      </c>
      <c r="G2" s="5" t="n">
        <v>0</v>
      </c>
      <c r="H2" s="5" t="n">
        <v>30</v>
      </c>
      <c r="I2" s="5" t="s">
        <v>53</v>
      </c>
      <c r="J2" s="5" t="s">
        <v>54</v>
      </c>
    </row>
    <row r="3" customFormat="false" ht="15" hidden="false" customHeight="false" outlineLevel="0" collapsed="false">
      <c r="A3" s="6" t="s">
        <v>17</v>
      </c>
      <c r="B3" s="6" t="s">
        <v>55</v>
      </c>
      <c r="C3" s="6" t="s">
        <v>50</v>
      </c>
      <c r="D3" s="6" t="s">
        <v>56</v>
      </c>
      <c r="E3" s="6" t="s">
        <v>57</v>
      </c>
      <c r="F3" s="6" t="s">
        <v>52</v>
      </c>
      <c r="G3" s="6" t="n">
        <v>0</v>
      </c>
      <c r="H3" s="6" t="n">
        <v>30</v>
      </c>
      <c r="I3" s="6" t="s">
        <v>58</v>
      </c>
      <c r="J3" s="6" t="s">
        <v>54</v>
      </c>
    </row>
    <row r="4" customFormat="false" ht="15" hidden="false" customHeight="false" outlineLevel="0" collapsed="false">
      <c r="A4" s="5" t="s">
        <v>17</v>
      </c>
      <c r="B4" s="5" t="s">
        <v>59</v>
      </c>
      <c r="C4" s="5" t="s">
        <v>50</v>
      </c>
      <c r="D4" s="5" t="s">
        <v>60</v>
      </c>
      <c r="E4" s="5"/>
      <c r="F4" s="5" t="s">
        <v>52</v>
      </c>
      <c r="G4" s="5" t="n">
        <v>0</v>
      </c>
      <c r="H4" s="5" t="n">
        <v>18</v>
      </c>
      <c r="I4" s="5" t="s">
        <v>61</v>
      </c>
      <c r="J4" s="5" t="s">
        <v>54</v>
      </c>
    </row>
    <row r="5" customFormat="false" ht="15" hidden="false" customHeight="false" outlineLevel="0" collapsed="false">
      <c r="A5" s="6" t="s">
        <v>17</v>
      </c>
      <c r="B5" s="6" t="s">
        <v>62</v>
      </c>
      <c r="C5" s="6" t="s">
        <v>50</v>
      </c>
      <c r="D5" s="6" t="s">
        <v>63</v>
      </c>
      <c r="E5" s="6"/>
      <c r="F5" s="6" t="s">
        <v>52</v>
      </c>
      <c r="G5" s="6" t="n">
        <v>0</v>
      </c>
      <c r="H5" s="6" t="n">
        <v>4</v>
      </c>
      <c r="I5" s="6" t="s">
        <v>64</v>
      </c>
      <c r="J5" s="6" t="s">
        <v>54</v>
      </c>
    </row>
    <row r="6" customFormat="false" ht="15" hidden="false" customHeight="false" outlineLevel="0" collapsed="false">
      <c r="A6" s="5" t="s">
        <v>17</v>
      </c>
      <c r="B6" s="5" t="s">
        <v>65</v>
      </c>
      <c r="C6" s="5" t="s">
        <v>50</v>
      </c>
      <c r="D6" s="5" t="s">
        <v>66</v>
      </c>
      <c r="E6" s="5" t="s">
        <v>67</v>
      </c>
      <c r="F6" s="5" t="s">
        <v>52</v>
      </c>
      <c r="G6" s="5" t="n">
        <v>0</v>
      </c>
      <c r="H6" s="5" t="n">
        <v>3</v>
      </c>
      <c r="I6" s="5" t="s">
        <v>68</v>
      </c>
      <c r="J6" s="5" t="s">
        <v>54</v>
      </c>
    </row>
    <row r="7" customFormat="false" ht="15" hidden="false" customHeight="false" outlineLevel="0" collapsed="false">
      <c r="A7" s="6" t="s">
        <v>17</v>
      </c>
      <c r="B7" s="6" t="s">
        <v>69</v>
      </c>
      <c r="C7" s="6" t="s">
        <v>50</v>
      </c>
      <c r="D7" s="6" t="s">
        <v>70</v>
      </c>
      <c r="E7" s="6" t="s">
        <v>71</v>
      </c>
      <c r="F7" s="6" t="s">
        <v>52</v>
      </c>
      <c r="G7" s="6" t="n">
        <v>0</v>
      </c>
      <c r="H7" s="6" t="n">
        <v>3</v>
      </c>
      <c r="I7" s="6" t="s">
        <v>72</v>
      </c>
      <c r="J7" s="6" t="s">
        <v>54</v>
      </c>
    </row>
    <row r="8" customFormat="false" ht="23.85" hidden="false" customHeight="false" outlineLevel="0" collapsed="false">
      <c r="A8" s="5" t="s">
        <v>17</v>
      </c>
      <c r="B8" s="5" t="s">
        <v>73</v>
      </c>
      <c r="C8" s="5" t="s">
        <v>50</v>
      </c>
      <c r="D8" s="5" t="s">
        <v>74</v>
      </c>
      <c r="E8" s="5" t="s">
        <v>75</v>
      </c>
      <c r="F8" s="5" t="s">
        <v>52</v>
      </c>
      <c r="G8" s="5" t="n">
        <v>0</v>
      </c>
      <c r="H8" s="5" t="n">
        <v>3</v>
      </c>
      <c r="I8" s="5" t="s">
        <v>76</v>
      </c>
      <c r="J8" s="5" t="s">
        <v>54</v>
      </c>
    </row>
    <row r="9" customFormat="false" ht="15" hidden="false" customHeight="false" outlineLevel="0" collapsed="false">
      <c r="A9" s="6" t="s">
        <v>22</v>
      </c>
      <c r="B9" s="6" t="s">
        <v>24</v>
      </c>
      <c r="C9" s="6" t="s">
        <v>50</v>
      </c>
      <c r="D9" s="6" t="s">
        <v>77</v>
      </c>
      <c r="E9" s="6" t="s">
        <v>13</v>
      </c>
      <c r="F9" s="6" t="s">
        <v>52</v>
      </c>
      <c r="G9" s="6" t="n">
        <v>0</v>
      </c>
      <c r="H9" s="6" t="n">
        <v>92555</v>
      </c>
      <c r="I9" s="6" t="s">
        <v>78</v>
      </c>
      <c r="J9" s="6" t="s">
        <v>54</v>
      </c>
    </row>
    <row r="10" customFormat="false" ht="15" hidden="false" customHeight="false" outlineLevel="0" collapsed="false">
      <c r="A10" s="5" t="s">
        <v>22</v>
      </c>
      <c r="B10" s="5" t="s">
        <v>19</v>
      </c>
      <c r="C10" s="5" t="s">
        <v>50</v>
      </c>
      <c r="D10" s="5" t="s">
        <v>79</v>
      </c>
      <c r="E10" s="5" t="s">
        <v>80</v>
      </c>
      <c r="F10" s="5" t="s">
        <v>52</v>
      </c>
      <c r="G10" s="5" t="n">
        <v>0</v>
      </c>
      <c r="H10" s="5" t="n">
        <v>30</v>
      </c>
      <c r="I10" s="5" t="s">
        <v>53</v>
      </c>
      <c r="J10" s="5" t="s">
        <v>54</v>
      </c>
    </row>
    <row r="11" customFormat="false" ht="15" hidden="false" customHeight="false" outlineLevel="0" collapsed="false">
      <c r="A11" s="6" t="s">
        <v>22</v>
      </c>
      <c r="B11" s="6" t="s">
        <v>81</v>
      </c>
      <c r="C11" s="6" t="s">
        <v>82</v>
      </c>
      <c r="D11" s="6" t="s">
        <v>83</v>
      </c>
      <c r="E11" s="6" t="s">
        <v>84</v>
      </c>
      <c r="F11" s="6" t="s">
        <v>52</v>
      </c>
      <c r="G11" s="6" t="n">
        <v>0</v>
      </c>
      <c r="H11" s="6" t="n">
        <v>8</v>
      </c>
      <c r="I11" s="6" t="s">
        <v>85</v>
      </c>
      <c r="J11" s="6" t="s">
        <v>54</v>
      </c>
    </row>
    <row r="12" customFormat="false" ht="23.85" hidden="false" customHeight="false" outlineLevel="0" collapsed="false">
      <c r="A12" s="5" t="s">
        <v>22</v>
      </c>
      <c r="B12" s="5" t="s">
        <v>86</v>
      </c>
      <c r="C12" s="5" t="s">
        <v>50</v>
      </c>
      <c r="D12" s="5" t="s">
        <v>87</v>
      </c>
      <c r="E12" s="5" t="s">
        <v>88</v>
      </c>
      <c r="F12" s="5" t="s">
        <v>52</v>
      </c>
      <c r="G12" s="5" t="n">
        <v>0</v>
      </c>
      <c r="H12" s="5" t="n">
        <v>8</v>
      </c>
      <c r="I12" s="5" t="s">
        <v>89</v>
      </c>
      <c r="J12" s="5" t="s">
        <v>54</v>
      </c>
    </row>
    <row r="13" customFormat="false" ht="15" hidden="false" customHeight="false" outlineLevel="0" collapsed="false">
      <c r="A13" s="6" t="s">
        <v>22</v>
      </c>
      <c r="B13" s="6" t="s">
        <v>90</v>
      </c>
      <c r="C13" s="6" t="s">
        <v>50</v>
      </c>
      <c r="D13" s="6" t="s">
        <v>91</v>
      </c>
      <c r="E13" s="6"/>
      <c r="F13" s="6" t="s">
        <v>52</v>
      </c>
      <c r="G13" s="6" t="n">
        <v>0</v>
      </c>
      <c r="H13" s="6" t="n">
        <v>20</v>
      </c>
      <c r="I13" s="6" t="s">
        <v>61</v>
      </c>
      <c r="J13" s="6" t="s">
        <v>54</v>
      </c>
    </row>
    <row r="14" customFormat="false" ht="15" hidden="false" customHeight="false" outlineLevel="0" collapsed="false">
      <c r="A14" s="5" t="s">
        <v>22</v>
      </c>
      <c r="B14" s="5" t="s">
        <v>92</v>
      </c>
      <c r="C14" s="5" t="s">
        <v>50</v>
      </c>
      <c r="D14" s="5" t="s">
        <v>93</v>
      </c>
      <c r="E14" s="5" t="s">
        <v>94</v>
      </c>
      <c r="F14" s="5" t="s">
        <v>52</v>
      </c>
      <c r="G14" s="5" t="n">
        <v>0</v>
      </c>
      <c r="H14" s="5" t="n">
        <v>10</v>
      </c>
      <c r="I14" s="5" t="s">
        <v>95</v>
      </c>
      <c r="J14" s="5" t="s">
        <v>54</v>
      </c>
    </row>
    <row r="15" customFormat="false" ht="15" hidden="false" customHeight="false" outlineLevel="0" collapsed="false">
      <c r="A15" s="6" t="s">
        <v>22</v>
      </c>
      <c r="B15" s="6" t="s">
        <v>96</v>
      </c>
      <c r="C15" s="6" t="s">
        <v>82</v>
      </c>
      <c r="D15" s="6" t="s">
        <v>97</v>
      </c>
      <c r="E15" s="6" t="s">
        <v>98</v>
      </c>
      <c r="F15" s="6" t="s">
        <v>52</v>
      </c>
      <c r="G15" s="6" t="n">
        <v>0</v>
      </c>
      <c r="H15" s="6" t="n">
        <v>2</v>
      </c>
      <c r="I15" s="6" t="s">
        <v>99</v>
      </c>
      <c r="J15" s="6" t="s">
        <v>54</v>
      </c>
    </row>
    <row r="16" customFormat="false" ht="15" hidden="false" customHeight="false" outlineLevel="0" collapsed="false">
      <c r="A16" s="5" t="s">
        <v>22</v>
      </c>
      <c r="B16" s="5" t="s">
        <v>100</v>
      </c>
      <c r="C16" s="5" t="s">
        <v>82</v>
      </c>
      <c r="D16" s="5" t="s">
        <v>101</v>
      </c>
      <c r="E16" s="5" t="s">
        <v>102</v>
      </c>
      <c r="F16" s="5" t="s">
        <v>52</v>
      </c>
      <c r="G16" s="5" t="n">
        <v>0</v>
      </c>
      <c r="H16" s="5" t="n">
        <v>2</v>
      </c>
      <c r="I16" s="5" t="s">
        <v>103</v>
      </c>
      <c r="J16" s="5" t="s">
        <v>54</v>
      </c>
    </row>
    <row r="17" customFormat="false" ht="15" hidden="false" customHeight="false" outlineLevel="0" collapsed="false">
      <c r="A17" s="6" t="s">
        <v>26</v>
      </c>
      <c r="B17" s="6" t="s">
        <v>28</v>
      </c>
      <c r="C17" s="6" t="s">
        <v>50</v>
      </c>
      <c r="D17" s="6" t="s">
        <v>104</v>
      </c>
      <c r="E17" s="6" t="s">
        <v>13</v>
      </c>
      <c r="F17" s="6" t="s">
        <v>52</v>
      </c>
      <c r="G17" s="6" t="n">
        <v>0</v>
      </c>
      <c r="H17" s="6" t="n">
        <v>23121</v>
      </c>
      <c r="I17" s="6" t="s">
        <v>105</v>
      </c>
      <c r="J17" s="6" t="s">
        <v>54</v>
      </c>
    </row>
    <row r="18" customFormat="false" ht="15" hidden="false" customHeight="false" outlineLevel="0" collapsed="false">
      <c r="A18" s="5" t="s">
        <v>26</v>
      </c>
      <c r="B18" s="5" t="s">
        <v>24</v>
      </c>
      <c r="C18" s="5" t="s">
        <v>50</v>
      </c>
      <c r="D18" s="5" t="s">
        <v>106</v>
      </c>
      <c r="E18" s="5" t="s">
        <v>107</v>
      </c>
      <c r="F18" s="5" t="s">
        <v>52</v>
      </c>
      <c r="G18" s="5" t="n">
        <v>0</v>
      </c>
      <c r="H18" s="5" t="n">
        <v>23121</v>
      </c>
      <c r="I18" s="5" t="s">
        <v>108</v>
      </c>
      <c r="J18" s="5" t="s">
        <v>54</v>
      </c>
    </row>
    <row r="19" customFormat="false" ht="15" hidden="false" customHeight="false" outlineLevel="0" collapsed="false">
      <c r="A19" s="6" t="s">
        <v>26</v>
      </c>
      <c r="B19" s="6" t="s">
        <v>86</v>
      </c>
      <c r="C19" s="6" t="s">
        <v>50</v>
      </c>
      <c r="D19" s="6" t="s">
        <v>109</v>
      </c>
      <c r="E19" s="6" t="s">
        <v>88</v>
      </c>
      <c r="F19" s="6" t="s">
        <v>52</v>
      </c>
      <c r="G19" s="6" t="n">
        <v>0</v>
      </c>
      <c r="H19" s="6" t="n">
        <v>8</v>
      </c>
      <c r="I19" s="6" t="s">
        <v>110</v>
      </c>
      <c r="J19" s="6" t="s">
        <v>54</v>
      </c>
    </row>
    <row r="20" customFormat="false" ht="15" hidden="false" customHeight="false" outlineLevel="0" collapsed="false">
      <c r="A20" s="5" t="s">
        <v>26</v>
      </c>
      <c r="B20" s="5" t="s">
        <v>19</v>
      </c>
      <c r="C20" s="5" t="s">
        <v>50</v>
      </c>
      <c r="D20" s="5" t="s">
        <v>111</v>
      </c>
      <c r="E20" s="5" t="s">
        <v>80</v>
      </c>
      <c r="F20" s="5" t="s">
        <v>52</v>
      </c>
      <c r="G20" s="5" t="n">
        <v>0</v>
      </c>
      <c r="H20" s="5" t="n">
        <v>30</v>
      </c>
      <c r="I20" s="5" t="s">
        <v>53</v>
      </c>
      <c r="J20" s="5" t="s">
        <v>54</v>
      </c>
    </row>
    <row r="21" customFormat="false" ht="15" hidden="false" customHeight="false" outlineLevel="0" collapsed="false">
      <c r="A21" s="6" t="s">
        <v>26</v>
      </c>
      <c r="B21" s="6" t="s">
        <v>112</v>
      </c>
      <c r="C21" s="6" t="s">
        <v>82</v>
      </c>
      <c r="D21" s="6" t="s">
        <v>113</v>
      </c>
      <c r="E21" s="6" t="s">
        <v>84</v>
      </c>
      <c r="F21" s="6" t="s">
        <v>52</v>
      </c>
      <c r="G21" s="6" t="n">
        <v>0</v>
      </c>
      <c r="H21" s="6" t="n">
        <v>8</v>
      </c>
      <c r="I21" s="6" t="s">
        <v>85</v>
      </c>
      <c r="J21" s="6" t="s">
        <v>54</v>
      </c>
    </row>
    <row r="22" customFormat="false" ht="15" hidden="false" customHeight="false" outlineLevel="0" collapsed="false">
      <c r="A22" s="5" t="s">
        <v>26</v>
      </c>
      <c r="B22" s="5" t="s">
        <v>114</v>
      </c>
      <c r="C22" s="5" t="s">
        <v>50</v>
      </c>
      <c r="D22" s="5" t="s">
        <v>115</v>
      </c>
      <c r="E22" s="5" t="s">
        <v>94</v>
      </c>
      <c r="F22" s="5" t="s">
        <v>52</v>
      </c>
      <c r="G22" s="5" t="n">
        <v>0</v>
      </c>
      <c r="H22" s="5" t="n">
        <v>10</v>
      </c>
      <c r="I22" s="5" t="s">
        <v>116</v>
      </c>
      <c r="J22" s="5" t="s">
        <v>54</v>
      </c>
    </row>
    <row r="23" customFormat="false" ht="15" hidden="false" customHeight="false" outlineLevel="0" collapsed="false">
      <c r="A23" s="6" t="s">
        <v>26</v>
      </c>
      <c r="B23" s="6" t="s">
        <v>117</v>
      </c>
      <c r="C23" s="6" t="s">
        <v>50</v>
      </c>
      <c r="D23" s="6" t="s">
        <v>118</v>
      </c>
      <c r="E23" s="6" t="s">
        <v>119</v>
      </c>
      <c r="F23" s="6" t="s">
        <v>52</v>
      </c>
      <c r="G23" s="6" t="n">
        <v>0</v>
      </c>
      <c r="H23" s="6" t="n">
        <v>2</v>
      </c>
      <c r="I23" s="6" t="s">
        <v>120</v>
      </c>
      <c r="J23" s="6" t="s">
        <v>54</v>
      </c>
    </row>
    <row r="24" customFormat="false" ht="15" hidden="false" customHeight="false" outlineLevel="0" collapsed="false">
      <c r="A24" s="5" t="s">
        <v>26</v>
      </c>
      <c r="B24" s="5" t="s">
        <v>121</v>
      </c>
      <c r="C24" s="5" t="s">
        <v>50</v>
      </c>
      <c r="D24" s="5" t="s">
        <v>122</v>
      </c>
      <c r="E24" s="5" t="s">
        <v>123</v>
      </c>
      <c r="F24" s="5" t="s">
        <v>52</v>
      </c>
      <c r="G24" s="5" t="n">
        <v>0</v>
      </c>
      <c r="H24" s="5" t="n">
        <v>5</v>
      </c>
      <c r="I24" s="5" t="s">
        <v>124</v>
      </c>
      <c r="J24" s="5" t="s">
        <v>54</v>
      </c>
    </row>
    <row r="25" customFormat="false" ht="15" hidden="false" customHeight="false" outlineLevel="0" collapsed="false">
      <c r="A25" s="6" t="s">
        <v>26</v>
      </c>
      <c r="B25" s="6" t="s">
        <v>125</v>
      </c>
      <c r="C25" s="6" t="s">
        <v>82</v>
      </c>
      <c r="D25" s="6" t="s">
        <v>126</v>
      </c>
      <c r="E25" s="6" t="s">
        <v>98</v>
      </c>
      <c r="F25" s="6" t="s">
        <v>52</v>
      </c>
      <c r="G25" s="6" t="n">
        <v>0</v>
      </c>
      <c r="H25" s="6" t="n">
        <v>2</v>
      </c>
      <c r="I25" s="6" t="s">
        <v>103</v>
      </c>
      <c r="J25" s="6" t="s">
        <v>54</v>
      </c>
    </row>
    <row r="26" customFormat="false" ht="15" hidden="false" customHeight="false" outlineLevel="0" collapsed="false">
      <c r="A26" s="5" t="s">
        <v>26</v>
      </c>
      <c r="B26" s="5" t="s">
        <v>127</v>
      </c>
      <c r="C26" s="5" t="s">
        <v>82</v>
      </c>
      <c r="D26" s="5" t="s">
        <v>128</v>
      </c>
      <c r="E26" s="5" t="s">
        <v>98</v>
      </c>
      <c r="F26" s="5" t="s">
        <v>52</v>
      </c>
      <c r="G26" s="5" t="n">
        <v>0</v>
      </c>
      <c r="H26" s="5" t="n">
        <v>2</v>
      </c>
      <c r="I26" s="5" t="s">
        <v>103</v>
      </c>
      <c r="J26" s="5" t="s">
        <v>54</v>
      </c>
    </row>
    <row r="27" customFormat="false" ht="15" hidden="false" customHeight="false" outlineLevel="0" collapsed="false">
      <c r="A27" s="6" t="s">
        <v>26</v>
      </c>
      <c r="B27" s="6" t="s">
        <v>129</v>
      </c>
      <c r="C27" s="6" t="s">
        <v>130</v>
      </c>
      <c r="D27" s="6" t="s">
        <v>131</v>
      </c>
      <c r="E27" s="6" t="s">
        <v>132</v>
      </c>
      <c r="F27" s="6" t="s">
        <v>52</v>
      </c>
      <c r="G27" s="6" t="n">
        <v>0</v>
      </c>
      <c r="H27" s="6" t="n">
        <v>199</v>
      </c>
      <c r="I27" s="6" t="s">
        <v>133</v>
      </c>
      <c r="J27" s="6" t="s">
        <v>54</v>
      </c>
    </row>
    <row r="28" customFormat="false" ht="15" hidden="false" customHeight="false" outlineLevel="0" collapsed="false">
      <c r="A28" s="5" t="s">
        <v>26</v>
      </c>
      <c r="B28" s="5" t="s">
        <v>134</v>
      </c>
      <c r="C28" s="5" t="s">
        <v>50</v>
      </c>
      <c r="D28" s="5" t="s">
        <v>135</v>
      </c>
      <c r="E28" s="5" t="s">
        <v>136</v>
      </c>
      <c r="F28" s="5" t="s">
        <v>52</v>
      </c>
      <c r="G28" s="5" t="n">
        <v>0</v>
      </c>
      <c r="H28" s="5" t="n">
        <v>3</v>
      </c>
      <c r="I28" s="5" t="s">
        <v>137</v>
      </c>
      <c r="J28" s="5" t="s">
        <v>54</v>
      </c>
    </row>
    <row r="29" customFormat="false" ht="23.85" hidden="false" customHeight="false" outlineLevel="0" collapsed="false">
      <c r="A29" s="6" t="s">
        <v>26</v>
      </c>
      <c r="B29" s="6" t="s">
        <v>138</v>
      </c>
      <c r="C29" s="6" t="s">
        <v>139</v>
      </c>
      <c r="D29" s="6" t="s">
        <v>140</v>
      </c>
      <c r="E29" s="6" t="s">
        <v>141</v>
      </c>
      <c r="F29" s="6" t="s">
        <v>142</v>
      </c>
      <c r="G29" s="6" t="n">
        <v>14423</v>
      </c>
      <c r="H29" s="6" t="n">
        <v>5</v>
      </c>
      <c r="I29" s="6" t="s">
        <v>143</v>
      </c>
      <c r="J29" s="6" t="s">
        <v>54</v>
      </c>
    </row>
    <row r="30" customFormat="false" ht="23.85" hidden="false" customHeight="false" outlineLevel="0" collapsed="false">
      <c r="A30" s="5" t="s">
        <v>26</v>
      </c>
      <c r="B30" s="5" t="s">
        <v>144</v>
      </c>
      <c r="C30" s="5" t="s">
        <v>139</v>
      </c>
      <c r="D30" s="5" t="s">
        <v>145</v>
      </c>
      <c r="E30" s="5" t="s">
        <v>146</v>
      </c>
      <c r="F30" s="5" t="s">
        <v>142</v>
      </c>
      <c r="G30" s="5" t="n">
        <v>17195</v>
      </c>
      <c r="H30" s="5" t="n">
        <v>8</v>
      </c>
      <c r="I30" s="5" t="s">
        <v>147</v>
      </c>
      <c r="J30" s="5" t="s">
        <v>54</v>
      </c>
    </row>
    <row r="31" customFormat="false" ht="23.85" hidden="false" customHeight="false" outlineLevel="0" collapsed="false">
      <c r="A31" s="6" t="s">
        <v>26</v>
      </c>
      <c r="B31" s="6" t="s">
        <v>148</v>
      </c>
      <c r="C31" s="6" t="s">
        <v>139</v>
      </c>
      <c r="D31" s="6" t="s">
        <v>149</v>
      </c>
      <c r="E31" s="6" t="s">
        <v>150</v>
      </c>
      <c r="F31" s="6" t="s">
        <v>142</v>
      </c>
      <c r="G31" s="6" t="n">
        <v>8497</v>
      </c>
      <c r="H31" s="6" t="n">
        <v>6</v>
      </c>
      <c r="I31" s="6" t="s">
        <v>99</v>
      </c>
      <c r="J31" s="6" t="s">
        <v>54</v>
      </c>
    </row>
    <row r="32" customFormat="false" ht="15" hidden="false" customHeight="false" outlineLevel="0" collapsed="false">
      <c r="A32" s="5" t="s">
        <v>26</v>
      </c>
      <c r="B32" s="5" t="s">
        <v>151</v>
      </c>
      <c r="C32" s="5" t="s">
        <v>130</v>
      </c>
      <c r="D32" s="5" t="s">
        <v>152</v>
      </c>
      <c r="E32" s="5" t="s">
        <v>153</v>
      </c>
      <c r="F32" s="5" t="s">
        <v>52</v>
      </c>
      <c r="G32" s="5" t="n">
        <v>0</v>
      </c>
      <c r="H32" s="5" t="n">
        <v>315</v>
      </c>
      <c r="I32" s="5" t="s">
        <v>154</v>
      </c>
      <c r="J32" s="5" t="s">
        <v>54</v>
      </c>
    </row>
  </sheetData>
  <autoFilter ref="A1:J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22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50"/>
    <col collapsed="false" customWidth="true" hidden="false" outlineLevel="0" max="7" min="7" style="0" width="40"/>
    <col collapsed="false" customWidth="true" hidden="false" outlineLevel="0" max="8" min="8" style="0" width="32"/>
    <col collapsed="false" customWidth="true" hidden="false" outlineLevel="0" max="9" min="9" style="0" width="14"/>
  </cols>
  <sheetData>
    <row r="1" customFormat="false" ht="30" hidden="false" customHeight="true" outlineLevel="0" collapsed="false">
      <c r="A1" s="4" t="s">
        <v>155</v>
      </c>
      <c r="B1" s="4" t="s">
        <v>156</v>
      </c>
      <c r="C1" s="4" t="s">
        <v>157</v>
      </c>
      <c r="D1" s="4" t="s">
        <v>158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</row>
    <row r="2" customFormat="false" ht="15" hidden="false" customHeight="false" outlineLevel="0" collapsed="false">
      <c r="A2" s="5" t="s">
        <v>17</v>
      </c>
      <c r="B2" s="5" t="s">
        <v>19</v>
      </c>
      <c r="C2" s="5" t="s">
        <v>164</v>
      </c>
      <c r="D2" s="5" t="s">
        <v>165</v>
      </c>
      <c r="E2" s="5" t="s">
        <v>166</v>
      </c>
      <c r="F2" s="5" t="s">
        <v>167</v>
      </c>
      <c r="G2" s="5" t="s">
        <v>168</v>
      </c>
      <c r="H2" s="5" t="s">
        <v>169</v>
      </c>
      <c r="I2" s="5" t="s">
        <v>170</v>
      </c>
    </row>
    <row r="3" customFormat="false" ht="15" hidden="false" customHeight="false" outlineLevel="0" collapsed="false">
      <c r="A3" s="6" t="s">
        <v>17</v>
      </c>
      <c r="B3" s="6" t="s">
        <v>55</v>
      </c>
      <c r="C3" s="6" t="s">
        <v>171</v>
      </c>
      <c r="D3" s="6" t="s">
        <v>165</v>
      </c>
      <c r="E3" s="6" t="s">
        <v>166</v>
      </c>
      <c r="F3" s="6" t="s">
        <v>167</v>
      </c>
      <c r="G3" s="6" t="s">
        <v>172</v>
      </c>
      <c r="H3" s="6" t="s">
        <v>169</v>
      </c>
      <c r="I3" s="6" t="s">
        <v>170</v>
      </c>
    </row>
    <row r="4" customFormat="false" ht="15" hidden="false" customHeight="false" outlineLevel="0" collapsed="false">
      <c r="A4" s="5" t="s">
        <v>17</v>
      </c>
      <c r="B4" s="5" t="s">
        <v>59</v>
      </c>
      <c r="C4" s="5" t="s">
        <v>173</v>
      </c>
      <c r="D4" s="5" t="s">
        <v>174</v>
      </c>
      <c r="E4" s="5" t="s">
        <v>166</v>
      </c>
      <c r="F4" s="5" t="s">
        <v>175</v>
      </c>
      <c r="G4" s="5" t="s">
        <v>176</v>
      </c>
      <c r="H4" s="5" t="s">
        <v>177</v>
      </c>
      <c r="I4" s="5" t="s">
        <v>170</v>
      </c>
    </row>
    <row r="5" customFormat="false" ht="15" hidden="false" customHeight="false" outlineLevel="0" collapsed="false">
      <c r="A5" s="6" t="s">
        <v>17</v>
      </c>
      <c r="B5" s="6" t="s">
        <v>62</v>
      </c>
      <c r="C5" s="6" t="s">
        <v>178</v>
      </c>
      <c r="D5" s="6" t="s">
        <v>165</v>
      </c>
      <c r="E5" s="6" t="s">
        <v>166</v>
      </c>
      <c r="F5" s="6" t="s">
        <v>167</v>
      </c>
      <c r="G5" s="6" t="s">
        <v>172</v>
      </c>
      <c r="H5" s="6" t="s">
        <v>169</v>
      </c>
      <c r="I5" s="6" t="s">
        <v>170</v>
      </c>
    </row>
    <row r="6" customFormat="false" ht="15" hidden="false" customHeight="false" outlineLevel="0" collapsed="false">
      <c r="A6" s="5" t="s">
        <v>17</v>
      </c>
      <c r="B6" s="5" t="s">
        <v>65</v>
      </c>
      <c r="C6" s="5" t="s">
        <v>179</v>
      </c>
      <c r="D6" s="5" t="s">
        <v>165</v>
      </c>
      <c r="E6" s="5" t="s">
        <v>166</v>
      </c>
      <c r="F6" s="5" t="s">
        <v>167</v>
      </c>
      <c r="G6" s="5" t="s">
        <v>172</v>
      </c>
      <c r="H6" s="5" t="s">
        <v>169</v>
      </c>
      <c r="I6" s="5" t="s">
        <v>170</v>
      </c>
    </row>
    <row r="7" customFormat="false" ht="15" hidden="false" customHeight="false" outlineLevel="0" collapsed="false">
      <c r="A7" s="6" t="s">
        <v>17</v>
      </c>
      <c r="B7" s="6" t="s">
        <v>69</v>
      </c>
      <c r="C7" s="6" t="s">
        <v>180</v>
      </c>
      <c r="D7" s="6" t="s">
        <v>165</v>
      </c>
      <c r="E7" s="6" t="s">
        <v>166</v>
      </c>
      <c r="F7" s="6" t="s">
        <v>167</v>
      </c>
      <c r="G7" s="6" t="s">
        <v>172</v>
      </c>
      <c r="H7" s="6" t="s">
        <v>169</v>
      </c>
      <c r="I7" s="6" t="s">
        <v>170</v>
      </c>
    </row>
    <row r="8" customFormat="false" ht="15" hidden="false" customHeight="false" outlineLevel="0" collapsed="false">
      <c r="A8" s="5" t="s">
        <v>17</v>
      </c>
      <c r="B8" s="5" t="s">
        <v>73</v>
      </c>
      <c r="C8" s="5" t="s">
        <v>181</v>
      </c>
      <c r="D8" s="5" t="s">
        <v>165</v>
      </c>
      <c r="E8" s="5" t="s">
        <v>166</v>
      </c>
      <c r="F8" s="5" t="s">
        <v>167</v>
      </c>
      <c r="G8" s="5" t="s">
        <v>172</v>
      </c>
      <c r="H8" s="5" t="s">
        <v>169</v>
      </c>
      <c r="I8" s="5" t="s">
        <v>170</v>
      </c>
    </row>
    <row r="9" customFormat="false" ht="15" hidden="false" customHeight="false" outlineLevel="0" collapsed="false">
      <c r="A9" s="6" t="s">
        <v>22</v>
      </c>
      <c r="B9" s="6" t="s">
        <v>24</v>
      </c>
      <c r="C9" s="6" t="s">
        <v>182</v>
      </c>
      <c r="D9" s="6" t="s">
        <v>165</v>
      </c>
      <c r="E9" s="6" t="s">
        <v>166</v>
      </c>
      <c r="F9" s="6" t="s">
        <v>167</v>
      </c>
      <c r="G9" s="6" t="s">
        <v>168</v>
      </c>
      <c r="H9" s="6" t="s">
        <v>169</v>
      </c>
      <c r="I9" s="6" t="s">
        <v>170</v>
      </c>
    </row>
    <row r="10" customFormat="false" ht="15" hidden="false" customHeight="false" outlineLevel="0" collapsed="false">
      <c r="A10" s="5" t="s">
        <v>22</v>
      </c>
      <c r="B10" s="5" t="s">
        <v>19</v>
      </c>
      <c r="C10" s="5" t="s">
        <v>164</v>
      </c>
      <c r="D10" s="5" t="s">
        <v>165</v>
      </c>
      <c r="E10" s="5" t="s">
        <v>166</v>
      </c>
      <c r="F10" s="5" t="s">
        <v>167</v>
      </c>
      <c r="G10" s="5" t="s">
        <v>168</v>
      </c>
      <c r="H10" s="5" t="s">
        <v>169</v>
      </c>
      <c r="I10" s="5" t="s">
        <v>170</v>
      </c>
    </row>
    <row r="11" customFormat="false" ht="15" hidden="false" customHeight="false" outlineLevel="0" collapsed="false">
      <c r="A11" s="6" t="s">
        <v>22</v>
      </c>
      <c r="B11" s="6" t="s">
        <v>81</v>
      </c>
      <c r="C11" s="6" t="s">
        <v>183</v>
      </c>
      <c r="D11" s="6" t="s">
        <v>184</v>
      </c>
      <c r="E11" s="6" t="s">
        <v>166</v>
      </c>
      <c r="F11" s="6" t="s">
        <v>185</v>
      </c>
      <c r="G11" s="6" t="s">
        <v>84</v>
      </c>
      <c r="H11" s="6" t="s">
        <v>186</v>
      </c>
      <c r="I11" s="6" t="s">
        <v>170</v>
      </c>
    </row>
    <row r="12" customFormat="false" ht="15" hidden="false" customHeight="false" outlineLevel="0" collapsed="false">
      <c r="A12" s="5" t="s">
        <v>22</v>
      </c>
      <c r="B12" s="5" t="s">
        <v>86</v>
      </c>
      <c r="C12" s="5" t="s">
        <v>187</v>
      </c>
      <c r="D12" s="5" t="s">
        <v>165</v>
      </c>
      <c r="E12" s="5" t="s">
        <v>166</v>
      </c>
      <c r="F12" s="5" t="s">
        <v>167</v>
      </c>
      <c r="G12" s="5" t="s">
        <v>188</v>
      </c>
      <c r="H12" s="5" t="s">
        <v>169</v>
      </c>
      <c r="I12" s="5" t="s">
        <v>170</v>
      </c>
    </row>
    <row r="13" customFormat="false" ht="15" hidden="false" customHeight="false" outlineLevel="0" collapsed="false">
      <c r="A13" s="6" t="s">
        <v>22</v>
      </c>
      <c r="B13" s="6" t="s">
        <v>90</v>
      </c>
      <c r="C13" s="6" t="s">
        <v>189</v>
      </c>
      <c r="D13" s="6" t="s">
        <v>174</v>
      </c>
      <c r="E13" s="6" t="s">
        <v>166</v>
      </c>
      <c r="F13" s="6" t="s">
        <v>175</v>
      </c>
      <c r="G13" s="6" t="s">
        <v>190</v>
      </c>
      <c r="H13" s="6" t="s">
        <v>177</v>
      </c>
      <c r="I13" s="6" t="s">
        <v>170</v>
      </c>
    </row>
    <row r="14" customFormat="false" ht="15" hidden="false" customHeight="false" outlineLevel="0" collapsed="false">
      <c r="A14" s="5" t="s">
        <v>22</v>
      </c>
      <c r="B14" s="5" t="s">
        <v>92</v>
      </c>
      <c r="C14" s="5" t="s">
        <v>191</v>
      </c>
      <c r="D14" s="5" t="s">
        <v>165</v>
      </c>
      <c r="E14" s="5" t="s">
        <v>166</v>
      </c>
      <c r="F14" s="5" t="s">
        <v>167</v>
      </c>
      <c r="G14" s="5" t="s">
        <v>172</v>
      </c>
      <c r="H14" s="5" t="s">
        <v>169</v>
      </c>
      <c r="I14" s="5" t="s">
        <v>170</v>
      </c>
    </row>
    <row r="15" customFormat="false" ht="15" hidden="false" customHeight="false" outlineLevel="0" collapsed="false">
      <c r="A15" s="6" t="s">
        <v>22</v>
      </c>
      <c r="B15" s="6" t="s">
        <v>96</v>
      </c>
      <c r="C15" s="6" t="s">
        <v>192</v>
      </c>
      <c r="D15" s="6" t="s">
        <v>184</v>
      </c>
      <c r="E15" s="6" t="s">
        <v>193</v>
      </c>
      <c r="F15" s="6" t="s">
        <v>194</v>
      </c>
      <c r="G15" s="6" t="s">
        <v>98</v>
      </c>
      <c r="H15" s="6" t="s">
        <v>169</v>
      </c>
      <c r="I15" s="6" t="s">
        <v>170</v>
      </c>
    </row>
    <row r="16" customFormat="false" ht="15" hidden="false" customHeight="false" outlineLevel="0" collapsed="false">
      <c r="A16" s="5" t="s">
        <v>22</v>
      </c>
      <c r="B16" s="5" t="s">
        <v>100</v>
      </c>
      <c r="C16" s="5" t="s">
        <v>195</v>
      </c>
      <c r="D16" s="5" t="s">
        <v>184</v>
      </c>
      <c r="E16" s="5" t="s">
        <v>193</v>
      </c>
      <c r="F16" s="5" t="s">
        <v>196</v>
      </c>
      <c r="G16" s="5" t="s">
        <v>197</v>
      </c>
      <c r="H16" s="5" t="s">
        <v>169</v>
      </c>
      <c r="I16" s="5" t="s">
        <v>170</v>
      </c>
    </row>
    <row r="17" customFormat="false" ht="15" hidden="false" customHeight="false" outlineLevel="0" collapsed="false">
      <c r="A17" s="6" t="s">
        <v>26</v>
      </c>
      <c r="B17" s="6" t="s">
        <v>28</v>
      </c>
      <c r="C17" s="6" t="s">
        <v>198</v>
      </c>
      <c r="D17" s="6" t="s">
        <v>165</v>
      </c>
      <c r="E17" s="6" t="s">
        <v>166</v>
      </c>
      <c r="F17" s="6" t="s">
        <v>167</v>
      </c>
      <c r="G17" s="6" t="s">
        <v>168</v>
      </c>
      <c r="H17" s="6" t="s">
        <v>169</v>
      </c>
      <c r="I17" s="6" t="s">
        <v>170</v>
      </c>
    </row>
    <row r="18" customFormat="false" ht="15" hidden="false" customHeight="false" outlineLevel="0" collapsed="false">
      <c r="A18" s="5" t="s">
        <v>26</v>
      </c>
      <c r="B18" s="5" t="s">
        <v>24</v>
      </c>
      <c r="C18" s="5" t="s">
        <v>182</v>
      </c>
      <c r="D18" s="5" t="s">
        <v>165</v>
      </c>
      <c r="E18" s="5" t="s">
        <v>166</v>
      </c>
      <c r="F18" s="5" t="s">
        <v>167</v>
      </c>
      <c r="G18" s="5" t="s">
        <v>199</v>
      </c>
      <c r="H18" s="5" t="s">
        <v>169</v>
      </c>
      <c r="I18" s="5" t="s">
        <v>170</v>
      </c>
    </row>
    <row r="19" customFormat="false" ht="15" hidden="false" customHeight="false" outlineLevel="0" collapsed="false">
      <c r="A19" s="6" t="s">
        <v>26</v>
      </c>
      <c r="B19" s="6" t="s">
        <v>86</v>
      </c>
      <c r="C19" s="6" t="s">
        <v>187</v>
      </c>
      <c r="D19" s="6" t="s">
        <v>165</v>
      </c>
      <c r="E19" s="6" t="s">
        <v>166</v>
      </c>
      <c r="F19" s="6" t="s">
        <v>167</v>
      </c>
      <c r="G19" s="6" t="s">
        <v>188</v>
      </c>
      <c r="H19" s="6" t="s">
        <v>169</v>
      </c>
      <c r="I19" s="6" t="s">
        <v>170</v>
      </c>
    </row>
    <row r="20" customFormat="false" ht="15" hidden="false" customHeight="false" outlineLevel="0" collapsed="false">
      <c r="A20" s="5" t="s">
        <v>26</v>
      </c>
      <c r="B20" s="5" t="s">
        <v>19</v>
      </c>
      <c r="C20" s="5" t="s">
        <v>164</v>
      </c>
      <c r="D20" s="5" t="s">
        <v>165</v>
      </c>
      <c r="E20" s="5" t="s">
        <v>166</v>
      </c>
      <c r="F20" s="5" t="s">
        <v>167</v>
      </c>
      <c r="G20" s="5" t="s">
        <v>168</v>
      </c>
      <c r="H20" s="5" t="s">
        <v>169</v>
      </c>
      <c r="I20" s="5" t="s">
        <v>170</v>
      </c>
    </row>
    <row r="21" customFormat="false" ht="15" hidden="false" customHeight="false" outlineLevel="0" collapsed="false">
      <c r="A21" s="6" t="s">
        <v>26</v>
      </c>
      <c r="B21" s="6" t="s">
        <v>112</v>
      </c>
      <c r="C21" s="6" t="s">
        <v>200</v>
      </c>
      <c r="D21" s="6" t="s">
        <v>184</v>
      </c>
      <c r="E21" s="6" t="s">
        <v>166</v>
      </c>
      <c r="F21" s="6" t="s">
        <v>185</v>
      </c>
      <c r="G21" s="6" t="s">
        <v>201</v>
      </c>
      <c r="H21" s="6" t="s">
        <v>169</v>
      </c>
      <c r="I21" s="6" t="s">
        <v>170</v>
      </c>
    </row>
    <row r="22" customFormat="false" ht="15" hidden="false" customHeight="false" outlineLevel="0" collapsed="false">
      <c r="A22" s="5" t="s">
        <v>26</v>
      </c>
      <c r="B22" s="5" t="s">
        <v>114</v>
      </c>
      <c r="C22" s="5" t="s">
        <v>202</v>
      </c>
      <c r="D22" s="5" t="s">
        <v>165</v>
      </c>
      <c r="E22" s="5" t="s">
        <v>166</v>
      </c>
      <c r="F22" s="5" t="s">
        <v>167</v>
      </c>
      <c r="G22" s="5" t="s">
        <v>172</v>
      </c>
      <c r="H22" s="5" t="s">
        <v>169</v>
      </c>
      <c r="I22" s="5" t="s">
        <v>170</v>
      </c>
    </row>
    <row r="23" customFormat="false" ht="15" hidden="false" customHeight="false" outlineLevel="0" collapsed="false">
      <c r="A23" s="6" t="s">
        <v>26</v>
      </c>
      <c r="B23" s="6" t="s">
        <v>117</v>
      </c>
      <c r="C23" s="6" t="s">
        <v>203</v>
      </c>
      <c r="D23" s="6" t="s">
        <v>165</v>
      </c>
      <c r="E23" s="6" t="s">
        <v>166</v>
      </c>
      <c r="F23" s="6" t="s">
        <v>167</v>
      </c>
      <c r="G23" s="6" t="s">
        <v>172</v>
      </c>
      <c r="H23" s="6" t="s">
        <v>169</v>
      </c>
      <c r="I23" s="6" t="s">
        <v>170</v>
      </c>
    </row>
    <row r="24" customFormat="false" ht="15" hidden="false" customHeight="false" outlineLevel="0" collapsed="false">
      <c r="A24" s="5" t="s">
        <v>26</v>
      </c>
      <c r="B24" s="5" t="s">
        <v>121</v>
      </c>
      <c r="C24" s="5" t="s">
        <v>204</v>
      </c>
      <c r="D24" s="5" t="s">
        <v>165</v>
      </c>
      <c r="E24" s="5" t="s">
        <v>166</v>
      </c>
      <c r="F24" s="5" t="s">
        <v>167</v>
      </c>
      <c r="G24" s="5" t="s">
        <v>172</v>
      </c>
      <c r="H24" s="5" t="s">
        <v>169</v>
      </c>
      <c r="I24" s="5" t="s">
        <v>170</v>
      </c>
    </row>
    <row r="25" customFormat="false" ht="15" hidden="false" customHeight="false" outlineLevel="0" collapsed="false">
      <c r="A25" s="6" t="s">
        <v>26</v>
      </c>
      <c r="B25" s="6" t="s">
        <v>125</v>
      </c>
      <c r="C25" s="6" t="s">
        <v>205</v>
      </c>
      <c r="D25" s="6" t="s">
        <v>184</v>
      </c>
      <c r="E25" s="6" t="s">
        <v>193</v>
      </c>
      <c r="F25" s="6" t="s">
        <v>167</v>
      </c>
      <c r="G25" s="6" t="s">
        <v>172</v>
      </c>
      <c r="H25" s="6" t="s">
        <v>169</v>
      </c>
      <c r="I25" s="6" t="s">
        <v>170</v>
      </c>
    </row>
    <row r="26" customFormat="false" ht="15" hidden="false" customHeight="false" outlineLevel="0" collapsed="false">
      <c r="A26" s="5" t="s">
        <v>26</v>
      </c>
      <c r="B26" s="5" t="s">
        <v>127</v>
      </c>
      <c r="C26" s="5" t="s">
        <v>206</v>
      </c>
      <c r="D26" s="5" t="s">
        <v>184</v>
      </c>
      <c r="E26" s="5" t="s">
        <v>193</v>
      </c>
      <c r="F26" s="5" t="s">
        <v>167</v>
      </c>
      <c r="G26" s="5" t="s">
        <v>172</v>
      </c>
      <c r="H26" s="5" t="s">
        <v>169</v>
      </c>
      <c r="I26" s="5" t="s">
        <v>170</v>
      </c>
    </row>
    <row r="27" customFormat="false" ht="15" hidden="false" customHeight="false" outlineLevel="0" collapsed="false">
      <c r="A27" s="6" t="s">
        <v>26</v>
      </c>
      <c r="B27" s="6" t="s">
        <v>129</v>
      </c>
      <c r="C27" s="6" t="s">
        <v>207</v>
      </c>
      <c r="D27" s="6" t="s">
        <v>208</v>
      </c>
      <c r="E27" s="6" t="s">
        <v>193</v>
      </c>
      <c r="F27" s="6" t="s">
        <v>209</v>
      </c>
      <c r="G27" s="6" t="s">
        <v>132</v>
      </c>
      <c r="H27" s="6" t="s">
        <v>169</v>
      </c>
      <c r="I27" s="6" t="s">
        <v>170</v>
      </c>
    </row>
    <row r="28" customFormat="false" ht="15" hidden="false" customHeight="false" outlineLevel="0" collapsed="false">
      <c r="A28" s="5" t="s">
        <v>26</v>
      </c>
      <c r="B28" s="5" t="s">
        <v>134</v>
      </c>
      <c r="C28" s="5" t="s">
        <v>210</v>
      </c>
      <c r="D28" s="5" t="s">
        <v>165</v>
      </c>
      <c r="E28" s="5" t="s">
        <v>166</v>
      </c>
      <c r="F28" s="5" t="s">
        <v>211</v>
      </c>
      <c r="G28" s="5" t="s">
        <v>212</v>
      </c>
      <c r="H28" s="5" t="s">
        <v>169</v>
      </c>
      <c r="I28" s="5" t="s">
        <v>170</v>
      </c>
    </row>
    <row r="29" customFormat="false" ht="15" hidden="false" customHeight="false" outlineLevel="0" collapsed="false">
      <c r="A29" s="6" t="s">
        <v>26</v>
      </c>
      <c r="B29" s="6" t="s">
        <v>138</v>
      </c>
      <c r="C29" s="6" t="s">
        <v>213</v>
      </c>
      <c r="D29" s="6" t="s">
        <v>184</v>
      </c>
      <c r="E29" s="6" t="s">
        <v>166</v>
      </c>
      <c r="F29" s="6" t="s">
        <v>214</v>
      </c>
      <c r="G29" s="6" t="s">
        <v>215</v>
      </c>
      <c r="H29" s="6" t="s">
        <v>216</v>
      </c>
      <c r="I29" s="6" t="s">
        <v>170</v>
      </c>
    </row>
    <row r="30" customFormat="false" ht="15" hidden="false" customHeight="false" outlineLevel="0" collapsed="false">
      <c r="A30" s="5" t="s">
        <v>26</v>
      </c>
      <c r="B30" s="5" t="s">
        <v>144</v>
      </c>
      <c r="C30" s="5" t="s">
        <v>217</v>
      </c>
      <c r="D30" s="5" t="s">
        <v>184</v>
      </c>
      <c r="E30" s="5" t="s">
        <v>166</v>
      </c>
      <c r="F30" s="5" t="s">
        <v>214</v>
      </c>
      <c r="G30" s="5" t="s">
        <v>218</v>
      </c>
      <c r="H30" s="5" t="s">
        <v>219</v>
      </c>
      <c r="I30" s="5" t="s">
        <v>170</v>
      </c>
    </row>
    <row r="31" customFormat="false" ht="15" hidden="false" customHeight="false" outlineLevel="0" collapsed="false">
      <c r="A31" s="6" t="s">
        <v>26</v>
      </c>
      <c r="B31" s="6" t="s">
        <v>148</v>
      </c>
      <c r="C31" s="6" t="s">
        <v>220</v>
      </c>
      <c r="D31" s="6" t="s">
        <v>184</v>
      </c>
      <c r="E31" s="6" t="s">
        <v>166</v>
      </c>
      <c r="F31" s="6" t="s">
        <v>221</v>
      </c>
      <c r="G31" s="6" t="s">
        <v>222</v>
      </c>
      <c r="H31" s="6" t="s">
        <v>223</v>
      </c>
      <c r="I31" s="6" t="s">
        <v>170</v>
      </c>
    </row>
    <row r="32" customFormat="false" ht="15" hidden="false" customHeight="false" outlineLevel="0" collapsed="false">
      <c r="A32" s="5" t="s">
        <v>26</v>
      </c>
      <c r="B32" s="5" t="s">
        <v>151</v>
      </c>
      <c r="C32" s="5" t="s">
        <v>224</v>
      </c>
      <c r="D32" s="5" t="s">
        <v>208</v>
      </c>
      <c r="E32" s="5" t="s">
        <v>193</v>
      </c>
      <c r="F32" s="5" t="s">
        <v>209</v>
      </c>
      <c r="G32" s="5" t="s">
        <v>153</v>
      </c>
      <c r="H32" s="5" t="s">
        <v>169</v>
      </c>
      <c r="I32" s="5" t="s">
        <v>170</v>
      </c>
    </row>
    <row r="33" customFormat="false" ht="15" hidden="false" customHeight="false" outlineLevel="0" collapsed="false">
      <c r="A33" s="6" t="s">
        <v>225</v>
      </c>
      <c r="B33" s="6" t="s">
        <v>20</v>
      </c>
      <c r="C33" s="6" t="s">
        <v>226</v>
      </c>
      <c r="D33" s="6" t="s">
        <v>184</v>
      </c>
      <c r="E33" s="6" t="s">
        <v>193</v>
      </c>
      <c r="F33" s="6" t="s">
        <v>227</v>
      </c>
      <c r="G33" s="6" t="s">
        <v>228</v>
      </c>
      <c r="H33" s="6" t="s">
        <v>186</v>
      </c>
      <c r="I33" s="6" t="s">
        <v>170</v>
      </c>
    </row>
    <row r="34" customFormat="false" ht="15" hidden="false" customHeight="false" outlineLevel="0" collapsed="false">
      <c r="A34" s="5" t="s">
        <v>225</v>
      </c>
      <c r="B34" s="5" t="s">
        <v>20</v>
      </c>
      <c r="C34" s="5" t="s">
        <v>229</v>
      </c>
      <c r="D34" s="5" t="s">
        <v>184</v>
      </c>
      <c r="E34" s="5" t="s">
        <v>193</v>
      </c>
      <c r="F34" s="5" t="s">
        <v>230</v>
      </c>
      <c r="G34" s="5" t="s">
        <v>228</v>
      </c>
      <c r="H34" s="5" t="s">
        <v>186</v>
      </c>
      <c r="I34" s="5" t="s">
        <v>170</v>
      </c>
    </row>
    <row r="35" customFormat="false" ht="23.85" hidden="false" customHeight="false" outlineLevel="0" collapsed="false">
      <c r="A35" s="6" t="s">
        <v>225</v>
      </c>
      <c r="B35" s="6" t="s">
        <v>20</v>
      </c>
      <c r="C35" s="6" t="s">
        <v>231</v>
      </c>
      <c r="D35" s="6" t="s">
        <v>184</v>
      </c>
      <c r="E35" s="6" t="s">
        <v>193</v>
      </c>
      <c r="F35" s="6" t="s">
        <v>232</v>
      </c>
      <c r="G35" s="6" t="s">
        <v>233</v>
      </c>
      <c r="H35" s="6" t="s">
        <v>186</v>
      </c>
      <c r="I35" s="6" t="s">
        <v>170</v>
      </c>
    </row>
    <row r="36" customFormat="false" ht="23.85" hidden="false" customHeight="false" outlineLevel="0" collapsed="false">
      <c r="A36" s="5" t="s">
        <v>225</v>
      </c>
      <c r="B36" s="5" t="s">
        <v>20</v>
      </c>
      <c r="C36" s="5" t="s">
        <v>234</v>
      </c>
      <c r="D36" s="5" t="s">
        <v>235</v>
      </c>
      <c r="E36" s="5" t="s">
        <v>166</v>
      </c>
      <c r="F36" s="5" t="s">
        <v>236</v>
      </c>
      <c r="G36" s="5" t="s">
        <v>237</v>
      </c>
      <c r="H36" s="5" t="s">
        <v>186</v>
      </c>
      <c r="I36" s="5" t="s">
        <v>170</v>
      </c>
    </row>
  </sheetData>
  <autoFilter ref="A1:I36"/>
  <dataValidations count="1">
    <dataValidation allowBlank="false" errorStyle="stop" operator="between" showDropDown="false" showErrorMessage="false" showInputMessage="false" sqref="I2:I36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6" min="6" style="0" width="12"/>
    <col collapsed="false" customWidth="true" hidden="false" outlineLevel="0" max="7" min="7" style="0" width="60"/>
  </cols>
  <sheetData>
    <row r="1" customFormat="false" ht="30" hidden="false" customHeight="true" outlineLevel="0" collapsed="false">
      <c r="A1" s="4" t="s">
        <v>238</v>
      </c>
      <c r="B1" s="4" t="s">
        <v>239</v>
      </c>
      <c r="C1" s="4" t="s">
        <v>11</v>
      </c>
      <c r="D1" s="4" t="s">
        <v>240</v>
      </c>
      <c r="E1" s="4" t="s">
        <v>241</v>
      </c>
      <c r="F1" s="4" t="s">
        <v>242</v>
      </c>
      <c r="G1" s="4" t="s">
        <v>243</v>
      </c>
    </row>
    <row r="2" customFormat="false" ht="15" hidden="false" customHeight="false" outlineLevel="0" collapsed="false">
      <c r="A2" s="5" t="s">
        <v>244</v>
      </c>
      <c r="B2" s="5" t="s">
        <v>245</v>
      </c>
      <c r="C2" s="5" t="s">
        <v>17</v>
      </c>
      <c r="D2" s="10" t="n">
        <v>30</v>
      </c>
      <c r="E2" s="11"/>
      <c r="F2" s="5" t="str">
        <f aca="false">IF(E2="","",IF(E2=D2,"OK","CHECK"))</f>
        <v/>
      </c>
      <c r="G2" s="5" t="s">
        <v>246</v>
      </c>
    </row>
    <row r="3" customFormat="false" ht="15" hidden="false" customHeight="false" outlineLevel="0" collapsed="false">
      <c r="A3" s="6" t="s">
        <v>247</v>
      </c>
      <c r="B3" s="6" t="s">
        <v>248</v>
      </c>
      <c r="C3" s="6" t="s">
        <v>22</v>
      </c>
      <c r="D3" s="12" t="n">
        <v>92555</v>
      </c>
      <c r="E3" s="13"/>
      <c r="F3" s="6" t="str">
        <f aca="false">IF(E3="","",IF(E3=D3,"OK","CHECK"))</f>
        <v/>
      </c>
      <c r="G3" s="6" t="s">
        <v>249</v>
      </c>
    </row>
    <row r="4" customFormat="false" ht="15" hidden="false" customHeight="false" outlineLevel="0" collapsed="false">
      <c r="A4" s="5" t="s">
        <v>250</v>
      </c>
      <c r="B4" s="5" t="s">
        <v>251</v>
      </c>
      <c r="C4" s="5" t="s">
        <v>26</v>
      </c>
      <c r="D4" s="10" t="n">
        <v>23121</v>
      </c>
      <c r="E4" s="11"/>
      <c r="F4" s="5" t="str">
        <f aca="false">IF(E4="","",IF(E4=D4,"OK","CHECK"))</f>
        <v/>
      </c>
      <c r="G4" s="5" t="s">
        <v>252</v>
      </c>
    </row>
    <row r="5" customFormat="false" ht="15" hidden="false" customHeight="false" outlineLevel="0" collapsed="false">
      <c r="A5" s="6" t="s">
        <v>253</v>
      </c>
      <c r="B5" s="6" t="s">
        <v>254</v>
      </c>
      <c r="C5" s="6" t="s">
        <v>22</v>
      </c>
      <c r="D5" s="12" t="n">
        <v>23121</v>
      </c>
      <c r="E5" s="13"/>
      <c r="F5" s="6" t="str">
        <f aca="false">IF(E5="","",IF(E5=D5,"OK","CHECK"))</f>
        <v/>
      </c>
      <c r="G5" s="6" t="s">
        <v>255</v>
      </c>
    </row>
    <row r="6" customFormat="false" ht="15" hidden="false" customHeight="false" outlineLevel="0" collapsed="false">
      <c r="A6" s="5" t="s">
        <v>256</v>
      </c>
      <c r="B6" s="5" t="s">
        <v>257</v>
      </c>
      <c r="C6" s="5" t="s">
        <v>22</v>
      </c>
      <c r="D6" s="10" t="n">
        <v>64347</v>
      </c>
      <c r="E6" s="11"/>
      <c r="F6" s="5" t="str">
        <f aca="false">IF(E6="","",IF(E6=D6,"OK","CHECK"))</f>
        <v/>
      </c>
      <c r="G6" s="5" t="s">
        <v>258</v>
      </c>
    </row>
    <row r="7" customFormat="false" ht="15" hidden="false" customHeight="false" outlineLevel="0" collapsed="false">
      <c r="A7" s="6" t="s">
        <v>259</v>
      </c>
      <c r="B7" s="6" t="s">
        <v>260</v>
      </c>
      <c r="C7" s="6" t="s">
        <v>26</v>
      </c>
      <c r="D7" s="12" t="n">
        <v>8698</v>
      </c>
      <c r="E7" s="13"/>
      <c r="F7" s="6" t="str">
        <f aca="false">IF(E7="","",IF(E7=D7,"OK","CHECK"))</f>
        <v/>
      </c>
      <c r="G7" s="6" t="s">
        <v>261</v>
      </c>
    </row>
    <row r="8" customFormat="false" ht="15" hidden="false" customHeight="false" outlineLevel="0" collapsed="false">
      <c r="A8" s="5" t="s">
        <v>262</v>
      </c>
      <c r="B8" s="5" t="s">
        <v>263</v>
      </c>
      <c r="C8" s="5" t="s">
        <v>26</v>
      </c>
      <c r="D8" s="10" t="n">
        <v>5926</v>
      </c>
      <c r="E8" s="11"/>
      <c r="F8" s="5" t="str">
        <f aca="false">IF(E8="","",IF(E8=D8,"OK","CHECK"))</f>
        <v/>
      </c>
      <c r="G8" s="5" t="s">
        <v>261</v>
      </c>
    </row>
    <row r="9" customFormat="false" ht="15" hidden="false" customHeight="false" outlineLevel="0" collapsed="false">
      <c r="A9" s="6" t="s">
        <v>264</v>
      </c>
      <c r="B9" s="6" t="s">
        <v>265</v>
      </c>
      <c r="C9" s="6" t="s">
        <v>26</v>
      </c>
      <c r="D9" s="12" t="n">
        <v>8497</v>
      </c>
      <c r="E9" s="13"/>
      <c r="F9" s="6" t="str">
        <f aca="false">IF(E9="","",IF(E9=D9,"OK","CHECK"))</f>
        <v/>
      </c>
      <c r="G9" s="6" t="s">
        <v>261</v>
      </c>
    </row>
    <row r="10" customFormat="false" ht="15" hidden="false" customHeight="false" outlineLevel="0" collapsed="false">
      <c r="A10" s="5" t="s">
        <v>266</v>
      </c>
      <c r="B10" s="5" t="s">
        <v>267</v>
      </c>
      <c r="C10" s="5" t="s">
        <v>26</v>
      </c>
      <c r="D10" s="10" t="n">
        <v>0</v>
      </c>
      <c r="E10" s="11"/>
      <c r="F10" s="5" t="str">
        <f aca="false">IF(E10="","",IF(E10=D10,"OK","CHECK"))</f>
        <v/>
      </c>
      <c r="G10" s="5" t="s">
        <v>268</v>
      </c>
    </row>
    <row r="11" customFormat="false" ht="15" hidden="false" customHeight="false" outlineLevel="0" collapsed="false">
      <c r="A11" s="6" t="s">
        <v>269</v>
      </c>
      <c r="B11" s="6" t="s">
        <v>270</v>
      </c>
      <c r="C11" s="6" t="s">
        <v>26</v>
      </c>
      <c r="D11" s="12" t="n">
        <v>30</v>
      </c>
      <c r="E11" s="13"/>
      <c r="F11" s="6" t="str">
        <f aca="false">IF(E11="","",IF(E11=D11,"OK","CHECK"))</f>
        <v/>
      </c>
      <c r="G11" s="6" t="s">
        <v>271</v>
      </c>
    </row>
    <row r="12" customFormat="false" ht="15" hidden="false" customHeight="false" outlineLevel="0" collapsed="false">
      <c r="A12" s="5" t="s">
        <v>272</v>
      </c>
      <c r="B12" s="5" t="s">
        <v>273</v>
      </c>
      <c r="C12" s="5" t="s">
        <v>26</v>
      </c>
      <c r="D12" s="10" t="n">
        <v>7898</v>
      </c>
      <c r="E12" s="11"/>
      <c r="F12" s="5" t="str">
        <f aca="false">IF(E12="","",IF(E12=D12,"OK","CHECK"))</f>
        <v/>
      </c>
      <c r="G12" s="5" t="s">
        <v>274</v>
      </c>
    </row>
    <row r="13" customFormat="false" ht="15" hidden="false" customHeight="false" outlineLevel="0" collapsed="false">
      <c r="A13" s="6" t="s">
        <v>275</v>
      </c>
      <c r="B13" s="6" t="s">
        <v>276</v>
      </c>
      <c r="C13" s="6" t="s">
        <v>26</v>
      </c>
      <c r="D13" s="12" t="n">
        <v>0</v>
      </c>
      <c r="E13" s="13"/>
      <c r="F13" s="6" t="str">
        <f aca="false">IF(E13="","",IF(E13=D13,"OK","CHECK"))</f>
        <v/>
      </c>
      <c r="G13" s="6" t="s">
        <v>277</v>
      </c>
    </row>
    <row r="14" customFormat="false" ht="15" hidden="false" customHeight="false" outlineLevel="0" collapsed="false">
      <c r="A14" s="5" t="s">
        <v>278</v>
      </c>
      <c r="B14" s="5" t="s">
        <v>279</v>
      </c>
      <c r="C14" s="5" t="s">
        <v>22</v>
      </c>
      <c r="D14" s="10" t="n">
        <v>8</v>
      </c>
      <c r="E14" s="11"/>
      <c r="F14" s="5" t="str">
        <f aca="false">IF(E14="","",IF(E14=D14,"OK","CHECK"))</f>
        <v/>
      </c>
      <c r="G14" s="5" t="s">
        <v>280</v>
      </c>
    </row>
    <row r="15" customFormat="false" ht="15" hidden="false" customHeight="false" outlineLevel="0" collapsed="false">
      <c r="A15" s="6" t="s">
        <v>281</v>
      </c>
      <c r="B15" s="6" t="s">
        <v>282</v>
      </c>
      <c r="C15" s="6" t="s">
        <v>26</v>
      </c>
      <c r="D15" s="12" t="n">
        <v>10</v>
      </c>
      <c r="E15" s="13"/>
      <c r="F15" s="6" t="str">
        <f aca="false">IF(E15="","",IF(E15=D15,"OK","CHECK"))</f>
        <v/>
      </c>
      <c r="G15" s="6" t="s">
        <v>283</v>
      </c>
    </row>
    <row r="16" customFormat="false" ht="15" hidden="false" customHeight="false" outlineLevel="0" collapsed="false">
      <c r="A16" s="5" t="s">
        <v>284</v>
      </c>
      <c r="B16" s="5" t="s">
        <v>285</v>
      </c>
      <c r="C16" s="5" t="s">
        <v>26</v>
      </c>
      <c r="D16" s="10" t="n">
        <v>8</v>
      </c>
      <c r="E16" s="11"/>
      <c r="F16" s="5" t="str">
        <f aca="false">IF(E16="","",IF(E16=D16,"OK","CHECK"))</f>
        <v/>
      </c>
      <c r="G16" s="5" t="s">
        <v>286</v>
      </c>
    </row>
    <row r="17" customFormat="false" ht="15" hidden="false" customHeight="false" outlineLevel="0" collapsed="false">
      <c r="A17" s="6" t="s">
        <v>287</v>
      </c>
      <c r="B17" s="6" t="s">
        <v>288</v>
      </c>
      <c r="C17" s="6" t="s">
        <v>22</v>
      </c>
      <c r="D17" s="12" t="n">
        <v>0</v>
      </c>
      <c r="E17" s="13"/>
      <c r="F17" s="6" t="str">
        <f aca="false">IF(E17="","",IF(E17=D17,"OK","CHECK"))</f>
        <v/>
      </c>
      <c r="G17" s="6" t="s">
        <v>289</v>
      </c>
    </row>
    <row r="18" customFormat="false" ht="15" hidden="false" customHeight="false" outlineLevel="0" collapsed="false">
      <c r="A18" s="5" t="s">
        <v>290</v>
      </c>
      <c r="B18" s="5" t="s">
        <v>291</v>
      </c>
      <c r="C18" s="5" t="s">
        <v>26</v>
      </c>
      <c r="D18" s="10" t="n">
        <v>14423</v>
      </c>
      <c r="E18" s="11"/>
      <c r="F18" s="5" t="str">
        <f aca="false">IF(E18="","",IF(E18=D18,"OK","CHECK"))</f>
        <v/>
      </c>
      <c r="G18" s="5" t="s">
        <v>292</v>
      </c>
    </row>
    <row r="20" customFormat="false" ht="15" hidden="false" customHeight="false" outlineLevel="0" collapsed="false">
      <c r="A20" s="7" t="s">
        <v>293</v>
      </c>
    </row>
    <row r="21" customFormat="false" ht="15" hidden="false" customHeight="false" outlineLevel="0" collapsed="false">
      <c r="B21" s="14" t="s">
        <v>294</v>
      </c>
      <c r="D21" s="14" t="n">
        <f aca="false">D7+D8+D9-D4</f>
        <v>0</v>
      </c>
    </row>
    <row r="22" customFormat="false" ht="15" hidden="false" customHeight="false" outlineLevel="0" collapsed="false">
      <c r="B22" s="14" t="s">
        <v>295</v>
      </c>
      <c r="D22" s="14" t="str">
        <f aca="false">COUNTIF(F2:F18,"OK")&amp;" / "&amp;COUNTA(E2:E18)</f>
        <v>0 / 0</v>
      </c>
    </row>
  </sheetData>
  <autoFilter ref="A1:G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2026-09-19T13:37:14Z</dcterms:created>
  <dc:creator>openpyxl</dc:creator>
  <dc:description/>
  <dc:language>en-US</dc:language>
  <cp:lastModifiedBy/>
  <dcterms:modified xsi:type="dcterms:W3CDTF">2026-09-19T13:37:14Z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